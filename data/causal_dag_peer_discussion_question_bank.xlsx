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4b35a1261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7fe798a6e8400f"/>
    <x:sheet xmlns:r="http://schemas.openxmlformats.org/officeDocument/2006/relationships" name="Deterministic bank" sheetId="2" r:id="R45b62b90dca64742"/>
    <x:sheet xmlns:r="http://schemas.openxmlformats.org/officeDocument/2006/relationships" name="Core 36 forms" sheetId="3" r:id="Rf05945738f714b2c"/>
    <x:sheet xmlns:r="http://schemas.openxmlformats.org/officeDocument/2006/relationships" name="Open prompts" sheetId="4" r:id="R386a708c22ad49ba"/>
    <x:sheet xmlns:r="http://schemas.openxmlformats.org/officeDocument/2006/relationships" name="Sources &amp; notes" sheetId="5" r:id="Re773a31954c1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15E59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fe50b93164885" /><Relationship Type="http://schemas.openxmlformats.org/officeDocument/2006/relationships/theme" Target="/xl/theme/theme1.xml" Id="Rcf86dc59d011429d" /><Relationship Type="http://schemas.openxmlformats.org/officeDocument/2006/relationships/sharedStrings" Target="/xl/sharedStrings.xml" Id="R0107a38c62004540" /><Relationship Type="http://schemas.openxmlformats.org/officeDocument/2006/relationships/worksheet" Target="/xl/worksheets/sheet1.xml" Id="Rfb7fe798a6e8400f" /><Relationship Type="http://schemas.openxmlformats.org/officeDocument/2006/relationships/worksheet" Target="/xl/worksheets/sheet2.xml" Id="R45b62b90dca64742" /><Relationship Type="http://schemas.openxmlformats.org/officeDocument/2006/relationships/worksheet" Target="/xl/worksheets/sheet3.xml" Id="Rf05945738f714b2c" /><Relationship Type="http://schemas.openxmlformats.org/officeDocument/2006/relationships/worksheet" Target="/xl/worksheets/sheet4.xml" Id="R386a708c22ad49ba" /><Relationship Type="http://schemas.openxmlformats.org/officeDocument/2006/relationships/worksheet" Target="/xl/worksheets/sheet5.xml" Id="Re773a31954c1465e" /></Relationships>
</file>

<file path=xl/tables/table1.xml><?xml version="1.0" encoding="utf-8"?>
<x:table xmlns:x="http://schemas.openxmlformats.org/spreadsheetml/2006/main" id="1" name="DeterministicBank" displayName="DeterministicBank" ref="A1:Q49" headerRowCount="1">
  <x:tableColumns count="17">
    <x:tableColumn id="1" name="ID"/>
    <x:tableColumn id="2" name="Use"/>
    <x:tableColumn id="3" name="Round"/>
    <x:tableColumn id="4" name="Student form"/>
    <x:tableColumn id="5" name="Slot"/>
    <x:tableColumn id="6" name="Difficulty"/>
    <x:tableColumn id="7" name="Band"/>
    <x:tableColumn id="8" name="Topic"/>
    <x:tableColumn id="9" name="Type"/>
    <x:tableColumn id="10" name="Question"/>
    <x:tableColumn id="11" name="Option A"/>
    <x:tableColumn id="12" name="Option B"/>
    <x:tableColumn id="13" name="Option C"/>
    <x:tableColumn id="14" name="Option D"/>
    <x:tableColumn id="15" name="Correct answer"/>
    <x:tableColumn id="16" name="Brief rationale / grading note"/>
    <x:tableColumn id="17" name="Instructor note"/>
  </x:tableColumns>
  <x:tableStyleInfo name="TableStyleMedium2" showRowStripes="1"/>
</x:table>
</file>

<file path=xl/tables/table2.xml><?xml version="1.0" encoding="utf-8"?>
<x:table xmlns:x="http://schemas.openxmlformats.org/spreadsheetml/2006/main" id="2" name="CoreForms" displayName="CoreForms" ref="A1:M37" headerRowCount="1">
  <x:tableColumns count="13">
    <x:tableColumn id="1" name="Round"/>
    <x:tableColumn id="2" name="Student form"/>
    <x:tableColumn id="3" name="Slot"/>
    <x:tableColumn id="4" name="ID"/>
    <x:tableColumn id="5" name="Difficulty"/>
    <x:tableColumn id="6" name="Band"/>
    <x:tableColumn id="7" name="Topic"/>
    <x:tableColumn id="8" name="Type"/>
    <x:tableColumn id="9" name="Question"/>
    <x:tableColumn id="10" name="Option A"/>
    <x:tableColumn id="11" name="Option B"/>
    <x:tableColumn id="12" name="Option C"/>
    <x:tableColumn id="13" name="Option D"/>
  </x:tableColumns>
  <x:tableStyleInfo name="TableStyleMedium2" showRowStripes="1"/>
</x:table>
</file>

<file path=xl/tables/table3.xml><?xml version="1.0" encoding="utf-8"?>
<x:table xmlns:x="http://schemas.openxmlformats.org/spreadsheetml/2006/main" id="3" name="OpenPrompts" displayName="OpenPrompts" ref="A1:G13" headerRowCount="1">
  <x:tableColumns count="7">
    <x:tableColumn id="1" name="ID"/>
    <x:tableColumn id="2" name="Difficulty"/>
    <x:tableColumn id="3" name="Band"/>
    <x:tableColumn id="4" name="Topic"/>
    <x:tableColumn id="5" name="Open prompt"/>
    <x:tableColumn id="6" name="Strong answer includes / rubric"/>
    <x:tableColumn id="7" name="Suggested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3fa03fdb26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615a5a0bd2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07d888cb39426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5" t="str">
        <x:v>Causal data science summer school: quiz question bank</x:v>
      </x:c>
    </x:row>
    <x:row r="3">
      <x:c r="A3" s="12" t="str">
        <x:v>Purpose</x:v>
      </x:c>
      <x:c r="B3" s="16" t="str">
        <x:v>Classroom experiment for Day 2 showing confounding/self-selection versus randomization.</x:v>
      </x:c>
    </x:row>
    <x:row r="4">
      <x:c r="A4" s="12" t="str">
        <x:v>What is included</x:v>
      </x:c>
      <x:c r="B4" s="16" t="str">
        <x:v>48 deterministic/checkable questions, of which 36 are assigned to six 6-question forms and 12 are reserves; plus 12 open prompts.</x:v>
      </x:c>
    </x:row>
    <x:row r="5">
      <x:c r="A5" s="12" t="str">
        <x:v>Difficulty design</x:v>
      </x:c>
      <x:c r="B5" s="16" t="str">
        <x:v>Each core 6-question form contains 1 difficulty-1, 1 difficulty-2, 2 difficulty-3, 1 difficulty-4, and 1 difficulty-5 item.</x:v>
      </x:c>
    </x:row>
    <x:row r="6">
      <x:c r="A6" s="12" t="str">
        <x:v>Round 1 use</x:v>
      </x:c>
      <x:c r="B6" s="16" t="str">
        <x:v>Students self-select one question to discuss; hard questions are designed to be tempting discussion choices, creating confounding by difficulty.</x:v>
      </x:c>
    </x:row>
    <x:row r="7">
      <x:c r="A7" s="12" t="str">
        <x:v>Round 2 use</x:v>
      </x:c>
      <x:c r="B7" s="16" t="str">
        <x:v>Discussion is randomly assigned to questions; compare randomized discussion vs no discussion to demonstrate exchangeability in expectation.</x:v>
      </x:c>
    </x:row>
    <x:row r="10">
      <x:c r="A10" s="20" t="str">
        <x:v>Difficulty</x:v>
      </x:c>
      <x:c r="B10" s="20" t="str">
        <x:v>Band</x:v>
      </x:c>
      <x:c r="C10" s="20" t="str">
        <x:v>All deterministic</x:v>
      </x:c>
      <x:c r="D10" s="20" t="str">
        <x:v>Core 36</x:v>
      </x:c>
      <x:c r="E10" s="20" t="str">
        <x:v>Reserve</x:v>
      </x:c>
    </x:row>
    <x:row r="11">
      <x:c r="A11" t="n">
        <x:v>1</x:v>
      </x:c>
      <x:c r="B11" t="str">
        <x:v>Easy</x:v>
      </x:c>
      <x:c r="C11" t="n">
        <x:f>COUNTIF('Deterministic bank'!$F:$F,A11)</x:f>
        <x:v>8</x:v>
      </x:c>
      <x:c r="D11" t="n">
        <x:f>COUNTIFS('Deterministic bank'!$F:$F,A11,'Deterministic bank'!$B:$B,"Core 36")</x:f>
        <x:v>6</x:v>
      </x:c>
      <x:c r="E11" t="n">
        <x:f>COUNTIFS('Deterministic bank'!$F:$F,A11,'Deterministic bank'!$B:$B,"Reserve")</x:f>
        <x:v>2</x:v>
      </x:c>
    </x:row>
    <x:row r="12">
      <x:c r="A12" t="n">
        <x:v>2</x:v>
      </x:c>
      <x:c r="B12" t="str">
        <x:v>Easy</x:v>
      </x:c>
      <x:c r="C12" t="n">
        <x:f>COUNTIF('Deterministic bank'!$F:$F,A12)</x:f>
        <x:v>8</x:v>
      </x:c>
      <x:c r="D12" t="n">
        <x:f>COUNTIFS('Deterministic bank'!$F:$F,A12,'Deterministic bank'!$B:$B,"Core 36")</x:f>
        <x:v>6</x:v>
      </x:c>
      <x:c r="E12" t="n">
        <x:f>COUNTIFS('Deterministic bank'!$F:$F,A12,'Deterministic bank'!$B:$B,"Reserve")</x:f>
        <x:v>2</x:v>
      </x:c>
    </x:row>
    <x:row r="13">
      <x:c r="A13" t="n">
        <x:v>3</x:v>
      </x:c>
      <x:c r="B13" t="str">
        <x:v>Medium</x:v>
      </x:c>
      <x:c r="C13" t="n">
        <x:f>COUNTIF('Deterministic bank'!$F:$F,A13)</x:f>
        <x:v>16</x:v>
      </x:c>
      <x:c r="D13" t="n">
        <x:f>COUNTIFS('Deterministic bank'!$F:$F,A13,'Deterministic bank'!$B:$B,"Core 36")</x:f>
        <x:v>12</x:v>
      </x:c>
      <x:c r="E13" t="n">
        <x:f>COUNTIFS('Deterministic bank'!$F:$F,A13,'Deterministic bank'!$B:$B,"Reserve")</x:f>
        <x:v>4</x:v>
      </x:c>
    </x:row>
    <x:row r="14">
      <x:c r="A14" t="n">
        <x:v>4</x:v>
      </x:c>
      <x:c r="B14" t="str">
        <x:v>Hard</x:v>
      </x:c>
      <x:c r="C14" t="n">
        <x:f>COUNTIF('Deterministic bank'!$F:$F,A14)</x:f>
        <x:v>8</x:v>
      </x:c>
      <x:c r="D14" t="n">
        <x:f>COUNTIFS('Deterministic bank'!$F:$F,A14,'Deterministic bank'!$B:$B,"Core 36")</x:f>
        <x:v>6</x:v>
      </x:c>
      <x:c r="E14" t="n">
        <x:f>COUNTIFS('Deterministic bank'!$F:$F,A14,'Deterministic bank'!$B:$B,"Reserve")</x:f>
        <x:v>2</x:v>
      </x:c>
    </x:row>
    <x:row r="15">
      <x:c r="A15" t="n">
        <x:v>5</x:v>
      </x:c>
      <x:c r="B15" t="str">
        <x:v>Hard</x:v>
      </x:c>
      <x:c r="C15" t="n">
        <x:f>COUNTIF('Deterministic bank'!$F:$F,A15)</x:f>
        <x:v>8</x:v>
      </x:c>
      <x:c r="D15" t="n">
        <x:f>COUNTIFS('Deterministic bank'!$F:$F,A15,'Deterministic bank'!$B:$B,"Core 36")</x:f>
        <x:v>6</x:v>
      </x:c>
      <x:c r="E15" t="n">
        <x:f>COUNTIFS('Deterministic bank'!$F:$F,A15,'Deterministic bank'!$B:$B,"Reserve")</x:f>
        <x:v>2</x:v>
      </x:c>
    </x:row>
    <x:row r="16">
      <x:c r="A16" s="25" t="str">
        <x:v>Total</x:v>
      </x:c>
      <x:c r="B16" s="25" t="str"/>
      <x:c r="C16" s="25" t="n">
        <x:f>SUM(C11:C15)</x:f>
        <x:v>48</x:v>
      </x:c>
      <x:c r="D16" s="25" t="n">
        <x:f>SUM(D11:D15)</x:f>
        <x:v>36</x:v>
      </x:c>
      <x:c r="E16" s="25" t="n">
        <x:f>SUM(E11:E15)</x:f>
        <x:v>12</x:v>
      </x:c>
    </x:row>
    <x:row r="19">
      <x:c r="A19" s="28" t="str">
        <x:v>High-leverage instructor note</x:v>
      </x:c>
    </x:row>
    <x:row r="20" ht="36" customHeight="1">
      <x:c r="A20" s="16" t="str">
        <x:v>In Round 1, the naive comparison 'discussed vs not discussed' is expected to be biased because the treatment assignment mechanism is partly driven by question difficulty.</x:v>
      </x:c>
      <x:c r="B20" s="16"/>
      <x:c r="C20" s="16"/>
      <x:c r="D20" s="16"/>
      <x:c r="E20" s="16"/>
      <x:c r="F20" s="16"/>
      <x:c r="G20" s="16"/>
      <x:c r="H20" s="16"/>
    </x:row>
    <x:row r="21" ht="36" customHeight="1">
      <x:c r="A21" s="16" t="str">
        <x:v>In Round 2, random assignment breaks the Difficulty -&gt; Discussion arrow in expectation, so the same comparison is closer to the target causal effect.</x:v>
      </x:c>
      <x:c r="B21" s="16"/>
      <x:c r="C21" s="16"/>
      <x:c r="D21" s="16"/>
      <x:c r="E21" s="16"/>
      <x:c r="F21" s="16"/>
      <x:c r="G21" s="16"/>
      <x:c r="H21" s="16"/>
    </x:row>
    <x:row r="22" ht="36" customHeight="1">
      <x:c r="A22" s="16" t="str">
        <x:v>Hard items use multi-step arithmetic or DAG adjustment choices; they should remain discussable but non-trivial.</x:v>
      </x:c>
      <x:c r="B22" s="16"/>
      <x:c r="C22" s="16"/>
      <x:c r="D22" s="16"/>
      <x:c r="E22" s="16"/>
      <x:c r="F22" s="16"/>
      <x:c r="G22" s="16"/>
      <x:c r="H22" s="16"/>
    </x:row>
    <x:row r="23" ht="36" customHeight="1">
      <x:c r="A23" s="16" t="str">
        <x:v>If d-separation/collider descendants have not been covered, consider replacing Q018 with a reserve item before using it.</x:v>
      </x:c>
      <x:c r="B23" s="16"/>
      <x:c r="C23" s="16"/>
      <x:c r="D23" s="16"/>
      <x:c r="E23" s="16"/>
      <x:c r="F23" s="16"/>
      <x:c r="G23" s="16"/>
      <x:c r="H23" s="16"/>
    </x:row>
  </x:sheetData>
  <x:mergeCells>
    <x:mergeCell ref="A1:H1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0" hidden="0" customWidth="1"/>
    <x:col min="4" max="4" width="12" hidden="0" customWidth="1"/>
    <x:col min="5" max="5" width="7" hidden="0" customWidth="1"/>
    <x:col min="6" max="6" width="10" hidden="0" customWidth="1"/>
    <x:col min="7" max="7" width="10" hidden="0" customWidth="1"/>
    <x:col min="8" max="8" width="22" hidden="0" customWidth="1"/>
    <x:col min="9" max="9" width="12" hidden="0" customWidth="1"/>
    <x:col min="10" max="10" width="60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16" hidden="0" customWidth="1"/>
    <x:col min="16" max="16" width="56" hidden="0" customWidth="1"/>
    <x:col min="17" max="17" width="38" hidden="0" customWidth="1"/>
  </x:cols>
  <x:sheetData>
    <x:row r="1">
      <x:c r="A1" s="36" t="str">
        <x:v>ID</x:v>
      </x:c>
      <x:c r="B1" s="36" t="str">
        <x:v>Use</x:v>
      </x:c>
      <x:c r="C1" s="36" t="str">
        <x:v>Round</x:v>
      </x:c>
      <x:c r="D1" s="36" t="str">
        <x:v>Student form</x:v>
      </x:c>
      <x:c r="E1" s="36" t="str">
        <x:v>Slot</x:v>
      </x:c>
      <x:c r="F1" s="36" t="str">
        <x:v>Difficulty</x:v>
      </x:c>
      <x:c r="G1" s="36" t="str">
        <x:v>Band</x:v>
      </x:c>
      <x:c r="H1" s="36" t="str">
        <x:v>Topic</x:v>
      </x:c>
      <x:c r="I1" s="36" t="str">
        <x:v>Type</x:v>
      </x:c>
      <x:c r="J1" s="36" t="str">
        <x:v>Question</x:v>
      </x:c>
      <x:c r="K1" s="36" t="str">
        <x:v>Option A</x:v>
      </x:c>
      <x:c r="L1" s="36" t="str">
        <x:v>Option B</x:v>
      </x:c>
      <x:c r="M1" s="36" t="str">
        <x:v>Option C</x:v>
      </x:c>
      <x:c r="N1" s="36" t="str">
        <x:v>Option D</x:v>
      </x:c>
      <x:c r="O1" s="36" t="str">
        <x:v>Correct answer</x:v>
      </x:c>
      <x:c r="P1" s="36" t="str">
        <x:v>Brief rationale / grading note</x:v>
      </x:c>
      <x:c r="Q1" s="36" t="str">
        <x:v>Instructor note</x:v>
      </x:c>
    </x:row>
    <x:row r="2" ht="60" customHeight="1">
      <x:c r="A2" s="37" t="str">
        <x:v>Q001</x:v>
      </x:c>
      <x:c r="B2" s="37" t="str">
        <x:v>Core 36</x:v>
      </x:c>
      <x:c r="C2" s="37" t="str">
        <x:v>Round 1</x:v>
      </x:c>
      <x:c r="D2" s="37" t="str">
        <x:v>Student A</x:v>
      </x:c>
      <x:c r="E2" s="37" t="n">
        <x:v>1</x:v>
      </x:c>
      <x:c r="F2" s="37" t="n">
        <x:v>1</x:v>
      </x:c>
      <x:c r="G2" s="37" t="str">
        <x:v>Easy</x:v>
      </x:c>
      <x:c r="H2" s="37" t="str">
        <x:v>Potential outcomes</x:v>
      </x:c>
      <x:c r="I2" s="37" t="str">
        <x:v>MCQ</x:v>
      </x:c>
      <x:c r="J2" s="37" t="str">
        <x:v>Which expression is the average treatment effect (ATE) for a binary treatment X?</x:v>
      </x:c>
      <x:c r="K2" s="37" t="str">
        <x:v>E[Y | X=1] - E[Y | X=0]</x:v>
      </x:c>
      <x:c r="L2" s="37" t="str">
        <x:v>E[Y^1] - E[Y^0]</x:v>
      </x:c>
      <x:c r="M2" s="37" t="str">
        <x:v>P(X=1 | Y=1)</x:v>
      </x:c>
      <x:c r="N2" s="37" t="str">
        <x:v>Y_i^1 - Y_i^0 for one unit</x:v>
      </x:c>
      <x:c r="O2" s="37" t="str">
        <x:v>B</x:v>
      </x:c>
      <x:c r="P2" s="37" t="str">
        <x:v>The ATE is the population average contrast between potential outcomes; D is an individual treatment effect and A is an observed association.</x:v>
      </x:c>
      <x:c r="Q2" s="37" t="str">
        <x:v>Good opener: separates causal estimand from observed difference.</x:v>
      </x:c>
    </x:row>
    <x:row r="3" ht="60" customHeight="1">
      <x:c r="A3" s="37" t="str">
        <x:v>Q002</x:v>
      </x:c>
      <x:c r="B3" s="37" t="str">
        <x:v>Core 36</x:v>
      </x:c>
      <x:c r="C3" s="37" t="str">
        <x:v>Round 1</x:v>
      </x:c>
      <x:c r="D3" s="37" t="str">
        <x:v>Student A</x:v>
      </x:c>
      <x:c r="E3" s="37" t="n">
        <x:v>2</x:v>
      </x:c>
      <x:c r="F3" s="37" t="n">
        <x:v>2</x:v>
      </x:c>
      <x:c r="G3" s="37" t="str">
        <x:v>Easy</x:v>
      </x:c>
      <x:c r="H3" s="37" t="str">
        <x:v>Potential outcomes</x:v>
      </x:c>
      <x:c r="I3" s="37" t="str">
        <x:v>True/False</x:v>
      </x:c>
      <x:c r="J3" s="37" t="str">
        <x:v>A student receives peer discussion (X=1). In potential-outcome notation, the observed outcome is Y^1 and Y^0 is counterfactual for that student.</x:v>
      </x:c>
      <x:c r="K3" s="37" t="str">
        <x:v>True</x:v>
      </x:c>
      <x:c r="L3" s="37" t="str">
        <x:v>False</x:v>
      </x:c>
      <x:c r="M3" s="37" t="str"/>
      <x:c r="N3" s="37" t="str"/>
      <x:c r="O3" s="37" t="str">
        <x:v>A</x:v>
      </x:c>
      <x:c r="P3" s="37" t="str">
        <x:v>Under X=1, the factual outcome corresponds to Y^1; the no-discussion outcome Y^0 is not observed.</x:v>
      </x:c>
      <x:c r="Q3" s="37" t="str">
        <x:v>Maps directly to the classroom experiment.</x:v>
      </x:c>
    </x:row>
    <x:row r="4" ht="60" customHeight="1">
      <x:c r="A4" s="37" t="str">
        <x:v>Q003</x:v>
      </x:c>
      <x:c r="B4" s="37" t="str">
        <x:v>Core 36</x:v>
      </x:c>
      <x:c r="C4" s="37" t="str">
        <x:v>Round 1</x:v>
      </x:c>
      <x:c r="D4" s="37" t="str">
        <x:v>Student A</x:v>
      </x:c>
      <x:c r="E4" s="37" t="n">
        <x:v>3</x:v>
      </x:c>
      <x:c r="F4" s="37" t="n">
        <x:v>3</x:v>
      </x:c>
      <x:c r="G4" s="37" t="str">
        <x:v>Medium</x:v>
      </x:c>
      <x:c r="H4" s="37" t="str">
        <x:v>Potential outcomes</x:v>
      </x:c>
      <x:c r="I4" s="37" t="str">
        <x:v>Numeric</x:v>
      </x:c>
      <x:c r="J4" s="37" t="str">
        <x:v>For four units, Y^1 = (1, 0, 1, 1) and Y^0 = (0, 0, 1, 0). What is the ATE?</x:v>
      </x:c>
      <x:c r="K4" s="37" t="str"/>
      <x:c r="L4" s="37" t="str"/>
      <x:c r="M4" s="37" t="str"/>
      <x:c r="N4" s="37" t="str"/>
      <x:c r="O4" s="37" t="str">
        <x:v>0.50</x:v>
      </x:c>
      <x:c r="P4" s="37" t="str">
        <x:v>E[Y^1]=3/4 and E[Y^0]=1/4, so ATE=0.50.</x:v>
      </x:c>
      <x:c r="Q4" s="37" t="str">
        <x:v>Deterministic arithmetic.</x:v>
      </x:c>
    </x:row>
    <x:row r="5" ht="60" customHeight="1">
      <x:c r="A5" s="37" t="str">
        <x:v>Q004</x:v>
      </x:c>
      <x:c r="B5" s="37" t="str">
        <x:v>Core 36</x:v>
      </x:c>
      <x:c r="C5" s="37" t="str">
        <x:v>Round 1</x:v>
      </x:c>
      <x:c r="D5" s="37" t="str">
        <x:v>Student A</x:v>
      </x:c>
      <x:c r="E5" s="37" t="n">
        <x:v>4</x:v>
      </x:c>
      <x:c r="F5" s="37" t="n">
        <x:v>3</x:v>
      </x:c>
      <x:c r="G5" s="37" t="str">
        <x:v>Medium</x:v>
      </x:c>
      <x:c r="H5" s="37" t="str">
        <x:v>DAG patterns</x:v>
      </x:c>
      <x:c r="I5" s="37" t="str">
        <x:v>MCQ</x:v>
      </x:c>
      <x:c r="J5" s="37" t="str">
        <x:v>Consider the fork DAG Z -&gt; X and Z -&gt; Y, with no arrow from X to Y. Which statement is correct?</x:v>
      </x:c>
      <x:c r="K5" s="37" t="str">
        <x:v>X and Y must be independent marginally and dependent after conditioning on Z.</x:v>
      </x:c>
      <x:c r="L5" s="37" t="str">
        <x:v>X and Y may be associated marginally, but the path is blocked by conditioning on Z.</x:v>
      </x:c>
      <x:c r="M5" s="37" t="str">
        <x:v>Z is a collider.</x:v>
      </x:c>
      <x:c r="N5" s="37" t="str">
        <x:v>Z is a mediator from X to Y.</x:v>
      </x:c>
      <x:c r="O5" s="37" t="str">
        <x:v>B</x:v>
      </x:c>
      <x:c r="P5" s="37" t="str">
        <x:v>A common cause can induce an association between X and Y; conditioning on the common cause blocks that path.</x:v>
      </x:c>
      <x:c r="Q5" s="37" t="str">
        <x:v>Basic confounding pattern.</x:v>
      </x:c>
    </x:row>
    <x:row r="6" ht="60" customHeight="1">
      <x:c r="A6" s="37" t="str">
        <x:v>Q005</x:v>
      </x:c>
      <x:c r="B6" s="37" t="str">
        <x:v>Core 36</x:v>
      </x:c>
      <x:c r="C6" s="37" t="str">
        <x:v>Round 1</x:v>
      </x:c>
      <x:c r="D6" s="37" t="str">
        <x:v>Student A</x:v>
      </x:c>
      <x:c r="E6" s="37" t="n">
        <x:v>5</x:v>
      </x:c>
      <x:c r="F6" s="37" t="n">
        <x:v>4</x:v>
      </x:c>
      <x:c r="G6" s="37" t="str">
        <x:v>Hard</x:v>
      </x:c>
      <x:c r="H6" s="37" t="str">
        <x:v>Confounding / standardization</x:v>
      </x:c>
      <x:c r="I6" s="37" t="str">
        <x:v>MCQ</x:v>
      </x:c>
      <x:c r="J6" s="37" t="str">
        <x:v>In the delivery example, within low-risk pregnancies hospital outcome=95% and home=90%; within high-risk pregnancies hospital=80% and home=50%. In a target population with 80% low-risk and 20% high-risk pregnancies, what is the risk-standardized effect of hospital versus home delivery on good outcome?</x:v>
      </x:c>
      <x:c r="K6" s="37" t="str">
        <x:v>-0.045</x:v>
      </x:c>
      <x:c r="L6" s="37" t="str">
        <x:v>0.00</x:v>
      </x:c>
      <x:c r="M6" s="37" t="str">
        <x:v>+0.10</x:v>
      </x:c>
      <x:c r="N6" s="37" t="str">
        <x:v>+0.50</x:v>
      </x:c>
      <x:c r="O6" s="37" t="str">
        <x:v>C</x:v>
      </x:c>
      <x:c r="P6" s="37" t="str">
        <x:v>Hospital: 0.95*0.80 + 0.80*0.20 = 0.92. Home: 0.90*0.80 + 0.50*0.20 = 0.82. Difference = +0.10.</x:v>
      </x:c>
      <x:c r="Q6" s="37" t="str">
        <x:v>Hard because marginal and stratified answers differ.</x:v>
      </x:c>
    </x:row>
    <x:row r="7" ht="60" customHeight="1">
      <x:c r="A7" s="37" t="str">
        <x:v>Q006</x:v>
      </x:c>
      <x:c r="B7" s="37" t="str">
        <x:v>Core 36</x:v>
      </x:c>
      <x:c r="C7" s="37" t="str">
        <x:v>Round 1</x:v>
      </x:c>
      <x:c r="D7" s="37" t="str">
        <x:v>Student A</x:v>
      </x:c>
      <x:c r="E7" s="37" t="n">
        <x:v>6</x:v>
      </x:c>
      <x:c r="F7" s="37" t="n">
        <x:v>5</x:v>
      </x:c>
      <x:c r="G7" s="37" t="str">
        <x:v>Hard</x:v>
      </x:c>
      <x:c r="H7" s="37" t="str">
        <x:v>Back-door adjustment</x:v>
      </x:c>
      <x:c r="I7" s="37" t="str">
        <x:v>MCQ</x:v>
      </x:c>
      <x:c r="J7" s="37" t="str">
        <x:v>Graph: Z -&gt; X, Z -&gt; Y, X -&gt; M, M -&gt; Y. You want the total effect of X on Y. Which adjustment set is best?</x:v>
      </x:c>
      <x:c r="K7" s="37" t="str">
        <x:v>Do not adjust for any variable.</x:v>
      </x:c>
      <x:c r="L7" s="37" t="str">
        <x:v>Adjust for Z only.</x:v>
      </x:c>
      <x:c r="M7" s="37" t="str">
        <x:v>Adjust for M only.</x:v>
      </x:c>
      <x:c r="N7" s="37" t="str">
        <x:v>Adjust for both Z and M.</x:v>
      </x:c>
      <x:c r="O7" s="37" t="str">
        <x:v>B</x:v>
      </x:c>
      <x:c r="P7" s="37" t="str">
        <x:v>Z blocks the back-door path X &lt;- Z -&gt; Y. M lies on the causal pathway X -&gt; M -&gt; Y, so adjusting for M would block part of the total effect.</x:v>
      </x:c>
      <x:c r="Q7" s="37" t="str">
        <x:v>Good peer-discussion item.</x:v>
      </x:c>
    </x:row>
    <x:row r="8" ht="60" customHeight="1">
      <x:c r="A8" s="37" t="str">
        <x:v>Q007</x:v>
      </x:c>
      <x:c r="B8" s="37" t="str">
        <x:v>Core 36</x:v>
      </x:c>
      <x:c r="C8" s="37" t="str">
        <x:v>Round 1</x:v>
      </x:c>
      <x:c r="D8" s="37" t="str">
        <x:v>Student B</x:v>
      </x:c>
      <x:c r="E8" s="37" t="n">
        <x:v>1</x:v>
      </x:c>
      <x:c r="F8" s="37" t="n">
        <x:v>1</x:v>
      </x:c>
      <x:c r="G8" s="37" t="str">
        <x:v>Easy</x:v>
      </x:c>
      <x:c r="H8" s="37" t="str">
        <x:v>DAG basics</x:v>
      </x:c>
      <x:c r="I8" s="37" t="str">
        <x:v>MCQ</x:v>
      </x:c>
      <x:c r="J8" s="37" t="str">
        <x:v>In a causal DAG, what does a node usually represent?</x:v>
      </x:c>
      <x:c r="K8" s="37" t="str">
        <x:v>A variable.</x:v>
      </x:c>
      <x:c r="L8" s="37" t="str">
        <x:v>A p-value.</x:v>
      </x:c>
      <x:c r="M8" s="37" t="str">
        <x:v>A regression coefficient.</x:v>
      </x:c>
      <x:c r="N8" s="37" t="str">
        <x:v>A random sample size.</x:v>
      </x:c>
      <x:c r="O8" s="37" t="str">
        <x:v>A</x:v>
      </x:c>
      <x:c r="P8" s="37" t="str">
        <x:v>DAG nodes represent variables; directed edges represent assumed causal relations.</x:v>
      </x:c>
      <x:c r="Q8" s="37" t="str">
        <x:v>Very quick check.</x:v>
      </x:c>
    </x:row>
    <x:row r="9" ht="60" customHeight="1">
      <x:c r="A9" s="37" t="str">
        <x:v>Q008</x:v>
      </x:c>
      <x:c r="B9" s="37" t="str">
        <x:v>Core 36</x:v>
      </x:c>
      <x:c r="C9" s="37" t="str">
        <x:v>Round 1</x:v>
      </x:c>
      <x:c r="D9" s="37" t="str">
        <x:v>Student B</x:v>
      </x:c>
      <x:c r="E9" s="37" t="n">
        <x:v>2</x:v>
      </x:c>
      <x:c r="F9" s="37" t="n">
        <x:v>2</x:v>
      </x:c>
      <x:c r="G9" s="37" t="str">
        <x:v>Easy</x:v>
      </x:c>
      <x:c r="H9" s="37" t="str">
        <x:v>Identification assumptions</x:v>
      </x:c>
      <x:c r="I9" s="37" t="str">
        <x:v>MCQ</x:v>
      </x:c>
      <x:c r="J9" s="37" t="str">
        <x:v>Which statement about causal identifiability assumptions is most accurate?</x:v>
      </x:c>
      <x:c r="K9" s="37" t="str">
        <x:v>They are the same as linearity and normality assumptions.</x:v>
      </x:c>
      <x:c r="L9" s="37" t="str">
        <x:v>They state what would need to be true, in principle, to learn the causal effect from the data-generating setting.</x:v>
      </x:c>
      <x:c r="M9" s="37" t="str">
        <x:v>They can always be verified by a p-value.</x:v>
      </x:c>
      <x:c r="N9" s="37" t="str">
        <x:v>They only matter after fitting a regression model.</x:v>
      </x:c>
      <x:c r="O9" s="37" t="str">
        <x:v>B</x:v>
      </x:c>
      <x:c r="P9" s="37" t="str">
        <x:v>Identifiability assumptions concern the causal/data-generating setting, not just statistical model form, and are typically not testable from the observed data alone.</x:v>
      </x:c>
      <x:c r="Q9" s="37" t="str"/>
    </x:row>
    <x:row r="10" ht="60" customHeight="1">
      <x:c r="A10" s="37" t="str">
        <x:v>Q009</x:v>
      </x:c>
      <x:c r="B10" s="37" t="str">
        <x:v>Core 36</x:v>
      </x:c>
      <x:c r="C10" s="37" t="str">
        <x:v>Round 1</x:v>
      </x:c>
      <x:c r="D10" s="37" t="str">
        <x:v>Student B</x:v>
      </x:c>
      <x:c r="E10" s="37" t="n">
        <x:v>3</x:v>
      </x:c>
      <x:c r="F10" s="37" t="n">
        <x:v>3</x:v>
      </x:c>
      <x:c r="G10" s="37" t="str">
        <x:v>Medium</x:v>
      </x:c>
      <x:c r="H10" s="37" t="str">
        <x:v>Randomization / exchangeability</x:v>
      </x:c>
      <x:c r="I10" s="37" t="str">
        <x:v>True/False</x:v>
      </x:c>
      <x:c r="J10" s="37" t="str">
        <x:v>In a randomized quiz experiment, a difference in mean scores between randomly assigned discussion and no-discussion questions is used as an ATE estimate mainly because randomization makes the groups exchangeable in expectation.</x:v>
      </x:c>
      <x:c r="K10" s="37" t="str">
        <x:v>True</x:v>
      </x:c>
      <x:c r="L10" s="37" t="str">
        <x:v>False</x:v>
      </x:c>
      <x:c r="M10" s="37" t="str"/>
      <x:c r="N10" s="37" t="str"/>
      <x:c r="O10" s="37" t="str">
        <x:v>A</x:v>
      </x:c>
      <x:c r="P10" s="37" t="str">
        <x:v>Random assignment breaks systematic dependence between treatment assignment and potential outcomes in expectation.</x:v>
      </x:c>
      <x:c r="Q10" s="37" t="str">
        <x:v>Links Day 1 exchangeability to Round 2.</x:v>
      </x:c>
    </x:row>
    <x:row r="11" ht="60" customHeight="1">
      <x:c r="A11" s="37" t="str">
        <x:v>Q010</x:v>
      </x:c>
      <x:c r="B11" s="37" t="str">
        <x:v>Core 36</x:v>
      </x:c>
      <x:c r="C11" s="37" t="str">
        <x:v>Round 1</x:v>
      </x:c>
      <x:c r="D11" s="37" t="str">
        <x:v>Student B</x:v>
      </x:c>
      <x:c r="E11" s="37" t="n">
        <x:v>4</x:v>
      </x:c>
      <x:c r="F11" s="37" t="n">
        <x:v>3</x:v>
      </x:c>
      <x:c r="G11" s="37" t="str">
        <x:v>Medium</x:v>
      </x:c>
      <x:c r="H11" s="37" t="str">
        <x:v>Mediation</x:v>
      </x:c>
      <x:c r="I11" s="37" t="str">
        <x:v>MCQ</x:v>
      </x:c>
      <x:c r="J11" s="37" t="str">
        <x:v>Graph: X -&gt; M -&gt; Y. You want the total effect of X on Y. Should you adjust for M?</x:v>
      </x:c>
      <x:c r="K11" s="37" t="str">
        <x:v>Yes, because every variable in a DAG should be adjusted for.</x:v>
      </x:c>
      <x:c r="L11" s="37" t="str">
        <x:v>No, because M lies on the causal pathway from X to Y.</x:v>
      </x:c>
      <x:c r="M11" s="37" t="str">
        <x:v>Yes, because M is a confounder.</x:v>
      </x:c>
      <x:c r="N11" s="37" t="str">
        <x:v>No, because DAGs never guide adjustment decisions.</x:v>
      </x:c>
      <x:c r="O11" s="37" t="str">
        <x:v>B</x:v>
      </x:c>
      <x:c r="P11" s="37" t="str">
        <x:v>For a total effect, conditioning on a mediator blocks part of the effect of X on Y.</x:v>
      </x:c>
      <x:c r="Q11" s="37" t="str">
        <x:v>Parallel to hernia/bed-rest example.</x:v>
      </x:c>
    </x:row>
    <x:row r="12" ht="60" customHeight="1">
      <x:c r="A12" s="37" t="str">
        <x:v>Q011</x:v>
      </x:c>
      <x:c r="B12" s="37" t="str">
        <x:v>Core 36</x:v>
      </x:c>
      <x:c r="C12" s="37" t="str">
        <x:v>Round 1</x:v>
      </x:c>
      <x:c r="D12" s="37" t="str">
        <x:v>Student B</x:v>
      </x:c>
      <x:c r="E12" s="37" t="n">
        <x:v>5</x:v>
      </x:c>
      <x:c r="F12" s="37" t="n">
        <x:v>4</x:v>
      </x:c>
      <x:c r="G12" s="37" t="str">
        <x:v>Hard</x:v>
      </x:c>
      <x:c r="H12" s="37" t="str">
        <x:v>Collider / selection bias</x:v>
      </x:c>
      <x:c r="I12" s="37" t="str">
        <x:v>MCQ</x:v>
      </x:c>
      <x:c r="J12" s="37" t="str">
        <x:v>Publication is caused by both methodological quality and interesting results. If you analyze only published studies, what can happen between methodological quality and interesting results?</x:v>
      </x:c>
      <x:c r="K12" s="37" t="str">
        <x:v>They remain exactly independent in the published subset.</x:v>
      </x:c>
      <x:c r="L12" s="37" t="str">
        <x:v>Methodological quality causes interesting results.</x:v>
      </x:c>
      <x:c r="M12" s="37" t="str">
        <x:v>They can become negatively associated because publication is a collider or selection variable.</x:v>
      </x:c>
      <x:c r="N12" s="37" t="str">
        <x:v>The association proves that interesting results reduce quality.</x:v>
      </x:c>
      <x:c r="O12" s="37" t="str">
        <x:v>C</x:v>
      </x:c>
      <x:c r="P12" s="37" t="str">
        <x:v>Conditioning on a common effect can induce dependence between its causes; the induced association is not a causal effect.</x:v>
      </x:c>
      <x:c r="Q12" s="37" t="str">
        <x:v>Hard but memorable.</x:v>
      </x:c>
    </x:row>
    <x:row r="13" ht="60" customHeight="1">
      <x:c r="A13" s="37" t="str">
        <x:v>Q012</x:v>
      </x:c>
      <x:c r="B13" s="37" t="str">
        <x:v>Core 36</x:v>
      </x:c>
      <x:c r="C13" s="37" t="str">
        <x:v>Round 1</x:v>
      </x:c>
      <x:c r="D13" s="37" t="str">
        <x:v>Student B</x:v>
      </x:c>
      <x:c r="E13" s="37" t="n">
        <x:v>6</x:v>
      </x:c>
      <x:c r="F13" s="37" t="n">
        <x:v>5</x:v>
      </x:c>
      <x:c r="G13" s="37" t="str">
        <x:v>Hard</x:v>
      </x:c>
      <x:c r="H13" s="37" t="str">
        <x:v>Stratification / standardization</x:v>
      </x:c>
      <x:c r="I13" s="37" t="str">
        <x:v>MCQ</x:v>
      </x:c>
      <x:c r="J13" s="37" t="str">
        <x:v>Naive difference E[Y|X=1]-E[Y|X=0] = 0.10. After stratifying on Z, the stratum-specific differences are 0.20 for Z=0 and -0.04 for Z=1. The target population has P(Z=0)=0.25 and P(Z=1)=0.75. What standardized ATE estimate do you get?</x:v>
      </x:c>
      <x:c r="K13" s="37" t="str">
        <x:v>-0.04</x:v>
      </x:c>
      <x:c r="L13" s="37" t="str">
        <x:v>+0.02</x:v>
      </x:c>
      <x:c r="M13" s="37" t="str">
        <x:v>+0.10</x:v>
      </x:c>
      <x:c r="N13" s="37" t="str">
        <x:v>+0.16</x:v>
      </x:c>
      <x:c r="O13" s="37" t="str">
        <x:v>B</x:v>
      </x:c>
      <x:c r="P13" s="37" t="str">
        <x:v>0.25*0.20 + 0.75*(-0.04) = 0.05 - 0.03 = +0.02.</x:v>
      </x:c>
      <x:c r="Q13" s="37" t="str">
        <x:v>Multi-step numeric.</x:v>
      </x:c>
    </x:row>
    <x:row r="14" ht="60" customHeight="1">
      <x:c r="A14" s="37" t="str">
        <x:v>Q013</x:v>
      </x:c>
      <x:c r="B14" s="37" t="str">
        <x:v>Core 36</x:v>
      </x:c>
      <x:c r="C14" s="37" t="str">
        <x:v>Round 1</x:v>
      </x:c>
      <x:c r="D14" s="37" t="str">
        <x:v>Student C</x:v>
      </x:c>
      <x:c r="E14" s="37" t="n">
        <x:v>1</x:v>
      </x:c>
      <x:c r="F14" s="37" t="n">
        <x:v>1</x:v>
      </x:c>
      <x:c r="G14" s="37" t="str">
        <x:v>Easy</x:v>
      </x:c>
      <x:c r="H14" s="37" t="str">
        <x:v>Potential outcomes</x:v>
      </x:c>
      <x:c r="I14" s="37" t="str">
        <x:v>True/False</x:v>
      </x:c>
      <x:c r="J14" s="37" t="str">
        <x:v>A causal effect can be defined as a contrast between potential outcomes.</x:v>
      </x:c>
      <x:c r="K14" s="37" t="str">
        <x:v>True</x:v>
      </x:c>
      <x:c r="L14" s="37" t="str">
        <x:v>False</x:v>
      </x:c>
      <x:c r="M14" s="37" t="str"/>
      <x:c r="N14" s="37" t="str"/>
      <x:c r="O14" s="37" t="str">
        <x:v>A</x:v>
      </x:c>
      <x:c r="P14" s="37" t="str">
        <x:v>In the potential-outcomes framework, causal effects compare outcomes under different treatment levels.</x:v>
      </x:c>
      <x:c r="Q14" s="37" t="str"/>
    </x:row>
    <x:row r="15" ht="60" customHeight="1">
      <x:c r="A15" s="37" t="str">
        <x:v>Q014</x:v>
      </x:c>
      <x:c r="B15" s="37" t="str">
        <x:v>Core 36</x:v>
      </x:c>
      <x:c r="C15" s="37" t="str">
        <x:v>Round 1</x:v>
      </x:c>
      <x:c r="D15" s="37" t="str">
        <x:v>Student C</x:v>
      </x:c>
      <x:c r="E15" s="37" t="n">
        <x:v>2</x:v>
      </x:c>
      <x:c r="F15" s="37" t="n">
        <x:v>2</x:v>
      </x:c>
      <x:c r="G15" s="37" t="str">
        <x:v>Easy</x:v>
      </x:c>
      <x:c r="H15" s="37" t="str">
        <x:v>Positivity</x:v>
      </x:c>
      <x:c r="I15" s="37" t="str">
        <x:v>MCQ</x:v>
      </x:c>
      <x:c r="J15" s="37" t="str">
        <x:v>For a binary treatment X and covariates Z, positivity means:</x:v>
      </x:c>
      <x:c r="K15" s="37" t="str">
        <x:v>Every person has a positive outcome.</x:v>
      </x:c>
      <x:c r="L15" s="37" t="str">
        <x:v>The treatment effect must be positive.</x:v>
      </x:c>
      <x:c r="M15" s="37" t="str">
        <x:v>Only treated people appear in every covariate stratum.</x:v>
      </x:c>
      <x:c r="N15" s="37" t="str">
        <x:v>Both X=1 and X=0 are possible at each relevant level or combination of Z.</x:v>
      </x:c>
      <x:c r="O15" s="37" t="str">
        <x:v>D</x:v>
      </x:c>
      <x:c r="P15" s="37" t="str">
        <x:v>Positivity requires exposed and unexposed units at covariate levels in the target population.</x:v>
      </x:c>
      <x:c r="Q15" s="37" t="str"/>
    </x:row>
    <x:row r="16" ht="60" customHeight="1">
      <x:c r="A16" s="37" t="str">
        <x:v>Q015</x:v>
      </x:c>
      <x:c r="B16" s="37" t="str">
        <x:v>Core 36</x:v>
      </x:c>
      <x:c r="C16" s="37" t="str">
        <x:v>Round 1</x:v>
      </x:c>
      <x:c r="D16" s="37" t="str">
        <x:v>Student C</x:v>
      </x:c>
      <x:c r="E16" s="37" t="n">
        <x:v>3</x:v>
      </x:c>
      <x:c r="F16" s="37" t="n">
        <x:v>3</x:v>
      </x:c>
      <x:c r="G16" s="37" t="str">
        <x:v>Medium</x:v>
      </x:c>
      <x:c r="H16" s="37" t="str">
        <x:v>Confounding</x:v>
      </x:c>
      <x:c r="I16" s="37" t="str">
        <x:v>MCQ</x:v>
      </x:c>
      <x:c r="J16" s="37" t="str">
        <x:v>In the hospital-delivery DAG, pregnancy risk affects both delivery location and neonatal outcome. What role does pregnancy risk play?</x:v>
      </x:c>
      <x:c r="K16" s="37" t="str">
        <x:v>Mediator.</x:v>
      </x:c>
      <x:c r="L16" s="37" t="str">
        <x:v>Collider.</x:v>
      </x:c>
      <x:c r="M16" s="37" t="str">
        <x:v>Confounder / common cause.</x:v>
      </x:c>
      <x:c r="N16" s="37" t="str">
        <x:v>Outcome only.</x:v>
      </x:c>
      <x:c r="O16" s="37" t="str">
        <x:v>C</x:v>
      </x:c>
      <x:c r="P16" s="37" t="str">
        <x:v>Pregnancy risk is a common cause of treatment and outcome.</x:v>
      </x:c>
      <x:c r="Q16" s="37" t="str">
        <x:v>From the day-2 delivery example.</x:v>
      </x:c>
    </x:row>
    <x:row r="17" ht="60" customHeight="1">
      <x:c r="A17" s="37" t="str">
        <x:v>Q016</x:v>
      </x:c>
      <x:c r="B17" s="37" t="str">
        <x:v>Core 36</x:v>
      </x:c>
      <x:c r="C17" s="37" t="str">
        <x:v>Round 1</x:v>
      </x:c>
      <x:c r="D17" s="37" t="str">
        <x:v>Student C</x:v>
      </x:c>
      <x:c r="E17" s="37" t="n">
        <x:v>4</x:v>
      </x:c>
      <x:c r="F17" s="37" t="n">
        <x:v>3</x:v>
      </x:c>
      <x:c r="G17" s="37" t="str">
        <x:v>Medium</x:v>
      </x:c>
      <x:c r="H17" s="37" t="str">
        <x:v>DAG basics / SCM intuition</x:v>
      </x:c>
      <x:c r="I17" s="37" t="str">
        <x:v>MCQ</x:v>
      </x:c>
      <x:c r="J17" s="37" t="str">
        <x:v>What does it mean, in this lecture context, to say that DAGs are non-parametric?</x:v>
      </x:c>
      <x:c r="K17" s="37" t="str">
        <x:v>They encode which variables causally 'listen to' which other variables, but not the exact functional forms.</x:v>
      </x:c>
      <x:c r="L17" s="37" t="str">
        <x:v>They require all effects to be linear.</x:v>
      </x:c>
      <x:c r="M17" s="37" t="str">
        <x:v>They can only be used with categorical variables.</x:v>
      </x:c>
      <x:c r="N17" s="37" t="str">
        <x:v>They estimate coefficients without assumptions.</x:v>
      </x:c>
      <x:c r="O17" s="37" t="str">
        <x:v>A</x:v>
      </x:c>
      <x:c r="P17" s="37" t="str">
        <x:v>A DAG specifies causal parent relations, not whether those relations are linear, nonlinear, additive, etc.</x:v>
      </x:c>
      <x:c r="Q17" s="37" t="str">
        <x:v>From day-2 nonparametric DAG slide.</x:v>
      </x:c>
    </x:row>
    <x:row r="18" ht="60" customHeight="1">
      <x:c r="A18" s="37" t="str">
        <x:v>Q017</x:v>
      </x:c>
      <x:c r="B18" s="37" t="str">
        <x:v>Core 36</x:v>
      </x:c>
      <x:c r="C18" s="37" t="str">
        <x:v>Round 1</x:v>
      </x:c>
      <x:c r="D18" s="37" t="str">
        <x:v>Student C</x:v>
      </x:c>
      <x:c r="E18" s="37" t="n">
        <x:v>5</x:v>
      </x:c>
      <x:c r="F18" s="37" t="n">
        <x:v>4</x:v>
      </x:c>
      <x:c r="G18" s="37" t="str">
        <x:v>Hard</x:v>
      </x:c>
      <x:c r="H18" s="37" t="str">
        <x:v>Potential outcomes / ATE</x:v>
      </x:c>
      <x:c r="I18" s="37" t="str">
        <x:v>MCQ</x:v>
      </x:c>
      <x:c r="J18" s="37" t="str">
        <x:v>For eight people, Y^1 = (1,0,1,1,0,1,1,0) and Y^0 = (1,0,0,1,1,0,0,0). What is the ATE?</x:v>
      </x:c>
      <x:c r="K18" s="37" t="str">
        <x:v>-0.25</x:v>
      </x:c>
      <x:c r="L18" s="37" t="str">
        <x:v>0.00</x:v>
      </x:c>
      <x:c r="M18" s="37" t="str">
        <x:v>+0.25</x:v>
      </x:c>
      <x:c r="N18" s="37" t="str">
        <x:v>+0.50</x:v>
      </x:c>
      <x:c r="O18" s="37" t="str">
        <x:v>C</x:v>
      </x:c>
      <x:c r="P18" s="37" t="str">
        <x:v>E[Y^1]=5/8 and E[Y^0]=3/8, so ATE=2/8=+0.25.</x:v>
      </x:c>
      <x:c r="Q18" s="37" t="str">
        <x:v>Based on the aspirin table.</x:v>
      </x:c>
    </x:row>
    <x:row r="19" ht="60" customHeight="1">
      <x:c r="A19" s="37" t="str">
        <x:v>Q018</x:v>
      </x:c>
      <x:c r="B19" s="37" t="str">
        <x:v>Core 36</x:v>
      </x:c>
      <x:c r="C19" s="37" t="str">
        <x:v>Round 1</x:v>
      </x:c>
      <x:c r="D19" s="37" t="str">
        <x:v>Student C</x:v>
      </x:c>
      <x:c r="E19" s="37" t="n">
        <x:v>6</x:v>
      </x:c>
      <x:c r="F19" s="37" t="n">
        <x:v>5</x:v>
      </x:c>
      <x:c r="G19" s="37" t="str">
        <x:v>Hard</x:v>
      </x:c>
      <x:c r="H19" s="37" t="str">
        <x:v>Collider / d-separation</x:v>
      </x:c>
      <x:c r="I19" s="37" t="str">
        <x:v>MCQ</x:v>
      </x:c>
      <x:c r="J19" s="37" t="str">
        <x:v>Graph: A -&gt; C &lt;- B and C -&gt; D. Which conditioning choice opens a path between A and B?</x:v>
      </x:c>
      <x:c r="K19" s="37" t="str">
        <x:v>Conditioning on neither C nor D.</x:v>
      </x:c>
      <x:c r="L19" s="37" t="str">
        <x:v>Conditioning on C only.</x:v>
      </x:c>
      <x:c r="M19" s="37" t="str">
        <x:v>Conditioning on D only.</x:v>
      </x:c>
      <x:c r="N19" s="37" t="str">
        <x:v>Conditioning on either C or D.</x:v>
      </x:c>
      <x:c r="O19" s="37" t="str">
        <x:v>D</x:v>
      </x:c>
      <x:c r="P19" s="37" t="str">
        <x:v>A collider blocks the path unless the collider or a descendant of the collider is conditioned on.</x:v>
      </x:c>
      <x:c r="Q19" s="37" t="str">
        <x:v>Use as reserve if descendants of colliders were not covered.</x:v>
      </x:c>
    </x:row>
    <x:row r="20" ht="60" customHeight="1">
      <x:c r="A20" s="37" t="str">
        <x:v>Q019</x:v>
      </x:c>
      <x:c r="B20" s="37" t="str">
        <x:v>Core 36</x:v>
      </x:c>
      <x:c r="C20" s="37" t="str">
        <x:v>Round 2</x:v>
      </x:c>
      <x:c r="D20" s="37" t="str">
        <x:v>Student A</x:v>
      </x:c>
      <x:c r="E20" s="37" t="n">
        <x:v>1</x:v>
      </x:c>
      <x:c r="F20" s="37" t="n">
        <x:v>1</x:v>
      </x:c>
      <x:c r="G20" s="37" t="str">
        <x:v>Easy</x:v>
      </x:c>
      <x:c r="H20" s="37" t="str">
        <x:v>Randomization</x:v>
      </x:c>
      <x:c r="I20" s="37" t="str">
        <x:v>MCQ</x:v>
      </x:c>
      <x:c r="J20" s="37" t="str">
        <x:v>Random assignment is valuable for causal inference mainly because it:</x:v>
      </x:c>
      <x:c r="K20" s="37" t="str">
        <x:v>Makes all outcomes identical.</x:v>
      </x:c>
      <x:c r="L20" s="37" t="str">
        <x:v>Eliminates the need to define an outcome.</x:v>
      </x:c>
      <x:c r="M20" s="37" t="str">
        <x:v>Makes treatment independent of potential outcomes in expectation.</x:v>
      </x:c>
      <x:c r="N20" s="37" t="str">
        <x:v>Guarantees no measurement error.</x:v>
      </x:c>
      <x:c r="O20" s="37" t="str">
        <x:v>C</x:v>
      </x:c>
      <x:c r="P20" s="37" t="str">
        <x:v>Randomization supports exchangeability by making treatment assignment unrelated to potential outcomes in expectation.</x:v>
      </x:c>
      <x:c r="Q20" s="37" t="str"/>
    </x:row>
    <x:row r="21" ht="60" customHeight="1">
      <x:c r="A21" s="37" t="str">
        <x:v>Q020</x:v>
      </x:c>
      <x:c r="B21" s="37" t="str">
        <x:v>Core 36</x:v>
      </x:c>
      <x:c r="C21" s="37" t="str">
        <x:v>Round 2</x:v>
      </x:c>
      <x:c r="D21" s="37" t="str">
        <x:v>Student A</x:v>
      </x:c>
      <x:c r="E21" s="37" t="n">
        <x:v>2</x:v>
      </x:c>
      <x:c r="F21" s="37" t="n">
        <x:v>2</x:v>
      </x:c>
      <x:c r="G21" s="37" t="str">
        <x:v>Easy</x:v>
      </x:c>
      <x:c r="H21" s="37" t="str">
        <x:v>Potential outcomes</x:v>
      </x:c>
      <x:c r="I21" s="37" t="str">
        <x:v>MCQ</x:v>
      </x:c>
      <x:c r="J21" s="37" t="str">
        <x:v>A quiz question is randomly selected for peer discussion (X=1) and is answered correctly (Y=1). Which potential outcome is observed for that question-student unit?</x:v>
      </x:c>
      <x:c r="K21" s="37" t="str">
        <x:v>Y^1 = 1.</x:v>
      </x:c>
      <x:c r="L21" s="37" t="str">
        <x:v>Y^0 = 1.</x:v>
      </x:c>
      <x:c r="M21" s="37" t="str">
        <x:v>Both Y^1 and Y^0.</x:v>
      </x:c>
      <x:c r="N21" s="37" t="str">
        <x:v>Neither potential outcome.</x:v>
      </x:c>
      <x:c r="O21" s="37" t="str">
        <x:v>A</x:v>
      </x:c>
      <x:c r="P21" s="37" t="str">
        <x:v>When X=1, the factual potential outcome is Y^1.</x:v>
      </x:c>
      <x:c r="Q21" s="37" t="str">
        <x:v>Uses the classroom experiment directly.</x:v>
      </x:c>
    </x:row>
    <x:row r="22" ht="60" customHeight="1">
      <x:c r="A22" s="37" t="str">
        <x:v>Q021</x:v>
      </x:c>
      <x:c r="B22" s="37" t="str">
        <x:v>Core 36</x:v>
      </x:c>
      <x:c r="C22" s="37" t="str">
        <x:v>Round 2</x:v>
      </x:c>
      <x:c r="D22" s="37" t="str">
        <x:v>Student A</x:v>
      </x:c>
      <x:c r="E22" s="37" t="n">
        <x:v>3</x:v>
      </x:c>
      <x:c r="F22" s="37" t="n">
        <x:v>3</x:v>
      </x:c>
      <x:c r="G22" s="37" t="str">
        <x:v>Medium</x:v>
      </x:c>
      <x:c r="H22" s="37" t="str">
        <x:v>Potential outcomes / ITE</x:v>
      </x:c>
      <x:c r="I22" s="37" t="str">
        <x:v>MCQ</x:v>
      </x:c>
      <x:c r="J22" s="37" t="str">
        <x:v>For three units, Y^1=(1,1,0) and Y^0=(0,1,0). Which ITE vector and ATE are correct?</x:v>
      </x:c>
      <x:c r="K22" s="37" t="str">
        <x:v>ITE=(1,0,0), ATE=1/3.</x:v>
      </x:c>
      <x:c r="L22" s="37" t="str">
        <x:v>ITE=(0,1,0), ATE=1/3.</x:v>
      </x:c>
      <x:c r="M22" s="37" t="str">
        <x:v>ITE=(1,1,0), ATE=2/3.</x:v>
      </x:c>
      <x:c r="N22" s="37" t="str">
        <x:v>ITE=(0,0,0), ATE=0.</x:v>
      </x:c>
      <x:c r="O22" s="37" t="str">
        <x:v>A</x:v>
      </x:c>
      <x:c r="P22" s="37" t="str">
        <x:v>Subtract component-wise: (1-0, 1-1, 0-0)=(1,0,0); the average is 1/3.</x:v>
      </x:c>
      <x:c r="Q22" s="37" t="str"/>
    </x:row>
    <x:row r="23" ht="60" customHeight="1">
      <x:c r="A23" s="37" t="str">
        <x:v>Q022</x:v>
      </x:c>
      <x:c r="B23" s="37" t="str">
        <x:v>Core 36</x:v>
      </x:c>
      <x:c r="C23" s="37" t="str">
        <x:v>Round 2</x:v>
      </x:c>
      <x:c r="D23" s="37" t="str">
        <x:v>Student A</x:v>
      </x:c>
      <x:c r="E23" s="37" t="n">
        <x:v>4</x:v>
      </x:c>
      <x:c r="F23" s="37" t="n">
        <x:v>3</x:v>
      </x:c>
      <x:c r="G23" s="37" t="str">
        <x:v>Medium</x:v>
      </x:c>
      <x:c r="H23" s="37" t="str">
        <x:v>Mediation</x:v>
      </x:c>
      <x:c r="I23" s="37" t="str">
        <x:v>MCQ</x:v>
      </x:c>
      <x:c r="J23" s="37" t="str">
        <x:v>In the hernia example, hospital recovery location affects bed rest, and bed rest affects walking after one week. What is bed rest in the DAG?</x:v>
      </x:c>
      <x:c r="K23" s="37" t="str">
        <x:v>Confounder.</x:v>
      </x:c>
      <x:c r="L23" s="37" t="str">
        <x:v>Mediator.</x:v>
      </x:c>
      <x:c r="M23" s="37" t="str">
        <x:v>Collider.</x:v>
      </x:c>
      <x:c r="N23" s="37" t="str">
        <x:v>Instrument.</x:v>
      </x:c>
      <x:c r="O23" s="37" t="str">
        <x:v>B</x:v>
      </x:c>
      <x:c r="P23" s="37" t="str">
        <x:v>Bed rest lies on the path from location to recovery.</x:v>
      </x:c>
      <x:c r="Q23" s="37" t="str">
        <x:v>From day-2 hernia example.</x:v>
      </x:c>
    </x:row>
    <x:row r="24" ht="60" customHeight="1">
      <x:c r="A24" s="37" t="str">
        <x:v>Q023</x:v>
      </x:c>
      <x:c r="B24" s="37" t="str">
        <x:v>Core 36</x:v>
      </x:c>
      <x:c r="C24" s="37" t="str">
        <x:v>Round 2</x:v>
      </x:c>
      <x:c r="D24" s="37" t="str">
        <x:v>Student A</x:v>
      </x:c>
      <x:c r="E24" s="37" t="n">
        <x:v>5</x:v>
      </x:c>
      <x:c r="F24" s="37" t="n">
        <x:v>4</x:v>
      </x:c>
      <x:c r="G24" s="37" t="str">
        <x:v>Hard</x:v>
      </x:c>
      <x:c r="H24" s="37" t="str">
        <x:v>Confounding / Simpson's paradox</x:v>
      </x:c>
      <x:c r="I24" s="37" t="str">
        <x:v>MCQ</x:v>
      </x:c>
      <x:c r="J24" s="37" t="str">
        <x:v>Delivery table: home has 648/720 good outcomes among low-risk and 40/80 among high-risk; hospital has 19/20 low-risk and 144/180 high-risk. What is the marginal hospital-minus-home difference in good outcome?</x:v>
      </x:c>
      <x:c r="K24" s="37" t="str">
        <x:v>-4.5 percentage points.</x:v>
      </x:c>
      <x:c r="L24" s="37" t="str">
        <x:v>+10 percentage points.</x:v>
      </x:c>
      <x:c r="M24" s="37" t="str">
        <x:v>+50 percentage points.</x:v>
      </x:c>
      <x:c r="N24" s="37" t="str">
        <x:v>0 percentage points.</x:v>
      </x:c>
      <x:c r="O24" s="37" t="str">
        <x:v>A</x:v>
      </x:c>
      <x:c r="P24" s="37" t="str">
        <x:v>Hospital: (19+144)/(20+180)=163/200=81.5%. Home: (648+40)/(720+80)=688/800=86.0%. Difference=-4.5 percentage points.</x:v>
      </x:c>
      <x:c r="Q24" s="37" t="str">
        <x:v>Contrasts with Q005.</x:v>
      </x:c>
    </x:row>
    <x:row r="25" ht="60" customHeight="1">
      <x:c r="A25" s="37" t="str">
        <x:v>Q024</x:v>
      </x:c>
      <x:c r="B25" s="37" t="str">
        <x:v>Core 36</x:v>
      </x:c>
      <x:c r="C25" s="37" t="str">
        <x:v>Round 2</x:v>
      </x:c>
      <x:c r="D25" s="37" t="str">
        <x:v>Student A</x:v>
      </x:c>
      <x:c r="E25" s="37" t="n">
        <x:v>6</x:v>
      </x:c>
      <x:c r="F25" s="37" t="n">
        <x:v>5</x:v>
      </x:c>
      <x:c r="G25" s="37" t="str">
        <x:v>Hard</x:v>
      </x:c>
      <x:c r="H25" s="37" t="str">
        <x:v>Confounding and mediation</x:v>
      </x:c>
      <x:c r="I25" s="37" t="str">
        <x:v>MCQ</x:v>
      </x:c>
      <x:c r="J25" s="37" t="str">
        <x:v>Graph: Z -&gt; X, Z -&gt; Y, X -&gt; M, M -&gt; Y. You adjust for M but not Z while trying to estimate the total effect of X on Y. What is the main problem?</x:v>
      </x:c>
      <x:c r="K25" s="37" t="str">
        <x:v>You block part of the causal effect and leave the back-door path through Z open.</x:v>
      </x:c>
      <x:c r="L25" s="37" t="str">
        <x:v>You perfectly estimate the total effect.</x:v>
      </x:c>
      <x:c r="M25" s="37" t="str">
        <x:v>You create randomization.</x:v>
      </x:c>
      <x:c r="N25" s="37" t="str">
        <x:v>You remove all missing data.</x:v>
      </x:c>
      <x:c r="O25" s="37" t="str">
        <x:v>A</x:v>
      </x:c>
      <x:c r="P25" s="37" t="str">
        <x:v>M lies on the causal pathway, while Z is the confounder that needed adjustment.</x:v>
      </x:c>
      <x:c r="Q25" s="37" t="str">
        <x:v>Hard conceptual synthesis.</x:v>
      </x:c>
    </x:row>
    <x:row r="26" ht="60" customHeight="1">
      <x:c r="A26" s="37" t="str">
        <x:v>Q025</x:v>
      </x:c>
      <x:c r="B26" s="37" t="str">
        <x:v>Core 36</x:v>
      </x:c>
      <x:c r="C26" s="37" t="str">
        <x:v>Round 2</x:v>
      </x:c>
      <x:c r="D26" s="37" t="str">
        <x:v>Student B</x:v>
      </x:c>
      <x:c r="E26" s="37" t="n">
        <x:v>1</x:v>
      </x:c>
      <x:c r="F26" s="37" t="n">
        <x:v>1</x:v>
      </x:c>
      <x:c r="G26" s="37" t="str">
        <x:v>Easy</x:v>
      </x:c>
      <x:c r="H26" s="37" t="str">
        <x:v>Causal frameworks</x:v>
      </x:c>
      <x:c r="I26" s="37" t="str">
        <x:v>MCQ</x:v>
      </x:c>
      <x:c r="J26" s="37" t="str">
        <x:v>Which pair of causal inference frameworks are being connected across Day 1 and Day 2?</x:v>
      </x:c>
      <x:c r="K26" s="37" t="str">
        <x:v>Potential outcomes and causal DAGs / structural causal models.</x:v>
      </x:c>
      <x:c r="L26" s="37" t="str">
        <x:v>k-means clustering and random forests.</x:v>
      </x:c>
      <x:c r="M26" s="37" t="str">
        <x:v>Linear regression and logistic regression only.</x:v>
      </x:c>
      <x:c r="N26" s="37" t="str">
        <x:v>Cross-validation and bootstrapping.</x:v>
      </x:c>
      <x:c r="O26" s="37" t="str">
        <x:v>A</x:v>
      </x:c>
      <x:c r="P26" s="37" t="str">
        <x:v>Day 1 introduced potential outcomes; Day 2 introduces DAGs/SCMs.</x:v>
      </x:c>
      <x:c r="Q26" s="37" t="str"/>
    </x:row>
    <x:row r="27" ht="60" customHeight="1">
      <x:c r="A27" s="37" t="str">
        <x:v>Q026</x:v>
      </x:c>
      <x:c r="B27" s="37" t="str">
        <x:v>Core 36</x:v>
      </x:c>
      <x:c r="C27" s="37" t="str">
        <x:v>Round 2</x:v>
      </x:c>
      <x:c r="D27" s="37" t="str">
        <x:v>Student B</x:v>
      </x:c>
      <x:c r="E27" s="37" t="n">
        <x:v>2</x:v>
      </x:c>
      <x:c r="F27" s="37" t="n">
        <x:v>2</x:v>
      </x:c>
      <x:c r="G27" s="37" t="str">
        <x:v>Easy</x:v>
      </x:c>
      <x:c r="H27" s="37" t="str">
        <x:v>Consistency</x:v>
      </x:c>
      <x:c r="I27" s="37" t="str">
        <x:v>MCQ</x:v>
      </x:c>
      <x:c r="J27" s="37" t="str">
        <x:v>Which example most directly illustrates a possible consistency problem?</x:v>
      </x:c>
      <x:c r="K27" s="37" t="str">
        <x:v>Treatment is randomly assigned with a coin flip.</x:v>
      </x:c>
      <x:c r="L27" s="37" t="str">
        <x:v>The treatment 'after-school class' includes online tutoring, group homework club, and private coaching, each possibly with different effects.</x:v>
      </x:c>
      <x:c r="M27" s="37" t="str">
        <x:v>The outcome is measured on a binary scale.</x:v>
      </x:c>
      <x:c r="N27" s="37" t="str">
        <x:v>There are exactly two treatment groups.</x:v>
      </x:c>
      <x:c r="O27" s="37" t="str">
        <x:v>B</x:v>
      </x:c>
      <x:c r="P27" s="37" t="str">
        <x:v>Consistency requires treatment versions to be well-defined; multiple versions with different effects make the causal question ambiguous.</x:v>
      </x:c>
      <x:c r="Q27" s="37" t="str"/>
    </x:row>
    <x:row r="28" ht="60" customHeight="1">
      <x:c r="A28" s="37" t="str">
        <x:v>Q027</x:v>
      </x:c>
      <x:c r="B28" s="37" t="str">
        <x:v>Core 36</x:v>
      </x:c>
      <x:c r="C28" s="37" t="str">
        <x:v>Round 2</x:v>
      </x:c>
      <x:c r="D28" s="37" t="str">
        <x:v>Student B</x:v>
      </x:c>
      <x:c r="E28" s="37" t="n">
        <x:v>3</x:v>
      </x:c>
      <x:c r="F28" s="37" t="n">
        <x:v>3</x:v>
      </x:c>
      <x:c r="G28" s="37" t="str">
        <x:v>Medium</x:v>
      </x:c>
      <x:c r="H28" s="37" t="str">
        <x:v>Conditional exchangeability</x:v>
      </x:c>
      <x:c r="I28" s="37" t="str">
        <x:v>MCQ</x:v>
      </x:c>
      <x:c r="J28" s="37" t="str">
        <x:v>Which statement best expresses conditional exchangeability?</x:v>
      </x:c>
      <x:c r="K28" s="37" t="str">
        <x:v>Y^x is independent of X given Z.</x:v>
      </x:c>
      <x:c r="L28" s="37" t="str">
        <x:v>Y is independent of Z given X in every dataset.</x:v>
      </x:c>
      <x:c r="M28" s="37" t="str">
        <x:v>X is independent of Z marginally.</x:v>
      </x:c>
      <x:c r="N28" s="37" t="str">
        <x:v>Y^1 must equal Y^0 for every unit.</x:v>
      </x:c>
      <x:c r="O28" s="37" t="str">
        <x:v>A</x:v>
      </x:c>
      <x:c r="P28" s="37" t="str">
        <x:v>Conditional exchangeability says treatment assignment is independent of the potential outcomes within levels of observed confounders Z.</x:v>
      </x:c>
      <x:c r="Q28" s="37" t="str"/>
    </x:row>
    <x:row r="29" ht="60" customHeight="1">
      <x:c r="A29" s="37" t="str">
        <x:v>Q028</x:v>
      </x:c>
      <x:c r="B29" s="37" t="str">
        <x:v>Core 36</x:v>
      </x:c>
      <x:c r="C29" s="37" t="str">
        <x:v>Round 2</x:v>
      </x:c>
      <x:c r="D29" s="37" t="str">
        <x:v>Student B</x:v>
      </x:c>
      <x:c r="E29" s="37" t="n">
        <x:v>4</x:v>
      </x:c>
      <x:c r="F29" s="37" t="n">
        <x:v>3</x:v>
      </x:c>
      <x:c r="G29" s="37" t="str">
        <x:v>Medium</x:v>
      </x:c>
      <x:c r="H29" s="37" t="str">
        <x:v>Back-door paths</x:v>
      </x:c>
      <x:c r="I29" s="37" t="str">
        <x:v>MCQ</x:v>
      </x:c>
      <x:c r="J29" s="37" t="str">
        <x:v>In the DAG Z -&gt; X, Z -&gt; Y, X -&gt; Y, which path is a back-door path from X to Y?</x:v>
      </x:c>
      <x:c r="K29" s="37" t="str">
        <x:v>X -&gt; Y.</x:v>
      </x:c>
      <x:c r="L29" s="37" t="str">
        <x:v>X &lt;- Z -&gt; Y.</x:v>
      </x:c>
      <x:c r="M29" s="37" t="str">
        <x:v>Z -&gt; X.</x:v>
      </x:c>
      <x:c r="N29" s="37" t="str">
        <x:v>Y &lt;- X.</x:v>
      </x:c>
      <x:c r="O29" s="37" t="str">
        <x:v>B</x:v>
      </x:c>
      <x:c r="P29" s="37" t="str">
        <x:v>A back-door path from X begins with an arrow into X; X &lt;- Z -&gt; Y is the confounding path.</x:v>
      </x:c>
      <x:c r="Q29" s="37" t="str"/>
    </x:row>
    <x:row r="30" ht="60" customHeight="1">
      <x:c r="A30" s="37" t="str">
        <x:v>Q029</x:v>
      </x:c>
      <x:c r="B30" s="37" t="str">
        <x:v>Core 36</x:v>
      </x:c>
      <x:c r="C30" s="37" t="str">
        <x:v>Round 2</x:v>
      </x:c>
      <x:c r="D30" s="37" t="str">
        <x:v>Student B</x:v>
      </x:c>
      <x:c r="E30" s="37" t="n">
        <x:v>5</x:v>
      </x:c>
      <x:c r="F30" s="37" t="n">
        <x:v>4</x:v>
      </x:c>
      <x:c r="G30" s="37" t="str">
        <x:v>Hard</x:v>
      </x:c>
      <x:c r="H30" s="37" t="str">
        <x:v>Collider / bad controls</x:v>
      </x:c>
      <x:c r="I30" s="37" t="str">
        <x:v>MCQ</x:v>
      </x:c>
      <x:c r="J30" s="37" t="str">
        <x:v>Which variable should generally not be conditioned on when estimating a total causal effect, because doing so can induce bias?</x:v>
      </x:c>
      <x:c r="K30" s="37" t="str">
        <x:v>A pre-treatment common cause of treatment and outcome.</x:v>
      </x:c>
      <x:c r="L30" s="37" t="str">
        <x:v>A randomized treatment indicator.</x:v>
      </x:c>
      <x:c r="M30" s="37" t="str">
        <x:v>A collider or selection variable caused by both treatment and outcome.</x:v>
      </x:c>
      <x:c r="N30" s="37" t="str">
        <x:v>A measured outcome.</x:v>
      </x:c>
      <x:c r="O30" s="37" t="str">
        <x:v>C</x:v>
      </x:c>
      <x:c r="P30" s="37" t="str">
        <x:v>Conditioning on a collider can open a noncausal path.</x:v>
      </x:c>
      <x:c r="Q30" s="37" t="str"/>
    </x:row>
    <x:row r="31" ht="60" customHeight="1">
      <x:c r="A31" s="37" t="str">
        <x:v>Q030</x:v>
      </x:c>
      <x:c r="B31" s="37" t="str">
        <x:v>Core 36</x:v>
      </x:c>
      <x:c r="C31" s="37" t="str">
        <x:v>Round 2</x:v>
      </x:c>
      <x:c r="D31" s="37" t="str">
        <x:v>Student B</x:v>
      </x:c>
      <x:c r="E31" s="37" t="n">
        <x:v>6</x:v>
      </x:c>
      <x:c r="F31" s="37" t="n">
        <x:v>5</x:v>
      </x:c>
      <x:c r="G31" s="37" t="str">
        <x:v>Hard</x:v>
      </x:c>
      <x:c r="H31" s="37" t="str">
        <x:v>Positivity / overlap</x:v>
      </x:c>
      <x:c r="I31" s="37" t="str">
        <x:v>MCQ</x:v>
      </x:c>
      <x:c r="J31" s="37" t="str">
        <x:v>Counts by Z and treatment: Z=0 has X=0: n=0, X=1: n=20; Z=1 has X=0: n=15, X=1: n=25; Z=2 has X=0: n=30, X=1: n=0. For which Z level is positivity satisfied?</x:v>
      </x:c>
      <x:c r="K31" s="37" t="str">
        <x:v>Only Z=0.</x:v>
      </x:c>
      <x:c r="L31" s="37" t="str">
        <x:v>Only Z=1.</x:v>
      </x:c>
      <x:c r="M31" s="37" t="str">
        <x:v>Only Z=2.</x:v>
      </x:c>
      <x:c r="N31" s="37" t="str">
        <x:v>All Z levels.</x:v>
      </x:c>
      <x:c r="O31" s="37" t="str">
        <x:v>B</x:v>
      </x:c>
      <x:c r="P31" s="37" t="str">
        <x:v>At Z=1, both treated and untreated units are present. Z=0 and Z=2 each have an empty treatment cell.</x:v>
      </x:c>
      <x:c r="Q31" s="37" t="str">
        <x:v>Good hard-but-checkable item.</x:v>
      </x:c>
    </x:row>
    <x:row r="32" ht="60" customHeight="1">
      <x:c r="A32" s="37" t="str">
        <x:v>Q031</x:v>
      </x:c>
      <x:c r="B32" s="37" t="str">
        <x:v>Core 36</x:v>
      </x:c>
      <x:c r="C32" s="37" t="str">
        <x:v>Round 2</x:v>
      </x:c>
      <x:c r="D32" s="37" t="str">
        <x:v>Student C</x:v>
      </x:c>
      <x:c r="E32" s="37" t="n">
        <x:v>1</x:v>
      </x:c>
      <x:c r="F32" s="37" t="n">
        <x:v>1</x:v>
      </x:c>
      <x:c r="G32" s="37" t="str">
        <x:v>Easy</x:v>
      </x:c>
      <x:c r="H32" s="37" t="str">
        <x:v>DAG basics</x:v>
      </x:c>
      <x:c r="I32" s="37" t="str">
        <x:v>MCQ</x:v>
      </x:c>
      <x:c r="J32" s="37" t="str">
        <x:v>A directed edge X -&gt; Y in a causal DAG means:</x:v>
      </x:c>
      <x:c r="K32" s="37" t="str">
        <x:v>X may be a direct cause of Y in the assumed causal model.</x:v>
      </x:c>
      <x:c r="L32" s="37" t="str">
        <x:v>Y must cause X.</x:v>
      </x:c>
      <x:c r="M32" s="37" t="str">
        <x:v>X and Y are necessarily independent.</x:v>
      </x:c>
      <x:c r="N32" s="37" t="str">
        <x:v>The effect is necessarily linear.</x:v>
      </x:c>
      <x:c r="O32" s="37" t="str">
        <x:v>A</x:v>
      </x:c>
      <x:c r="P32" s="37" t="str">
        <x:v>The edge encodes a causal direction assumption, not a functional form.</x:v>
      </x:c>
      <x:c r="Q32" s="37" t="str"/>
    </x:row>
    <x:row r="33" ht="60" customHeight="1">
      <x:c r="A33" s="37" t="str">
        <x:v>Q032</x:v>
      </x:c>
      <x:c r="B33" s="37" t="str">
        <x:v>Core 36</x:v>
      </x:c>
      <x:c r="C33" s="37" t="str">
        <x:v>Round 2</x:v>
      </x:c>
      <x:c r="D33" s="37" t="str">
        <x:v>Student C</x:v>
      </x:c>
      <x:c r="E33" s="37" t="n">
        <x:v>2</x:v>
      </x:c>
      <x:c r="F33" s="37" t="n">
        <x:v>2</x:v>
      </x:c>
      <x:c r="G33" s="37" t="str">
        <x:v>Easy</x:v>
      </x:c>
      <x:c r="H33" s="37" t="str">
        <x:v>Observing vs intervening</x:v>
      </x:c>
      <x:c r="I33" s="37" t="str">
        <x:v>True/False</x:v>
      </x:c>
      <x:c r="J33" s="37" t="str">
        <x:v>Observing that E[Y | X=1] differs from E[Y | X=0] generally proves that X causes Y.</x:v>
      </x:c>
      <x:c r="K33" s="37" t="str">
        <x:v>True</x:v>
      </x:c>
      <x:c r="L33" s="37" t="str">
        <x:v>False</x:v>
      </x:c>
      <x:c r="M33" s="37" t="str"/>
      <x:c r="N33" s="37" t="str"/>
      <x:c r="O33" s="37" t="str">
        <x:v>B</x:v>
      </x:c>
      <x:c r="P33" s="37" t="str">
        <x:v>Observed differences can be due to confounding or selection; observing is not the same as intervening.</x:v>
      </x:c>
      <x:c r="Q33" s="37" t="str"/>
    </x:row>
    <x:row r="34" ht="60" customHeight="1">
      <x:c r="A34" s="37" t="str">
        <x:v>Q033</x:v>
      </x:c>
      <x:c r="B34" s="37" t="str">
        <x:v>Core 36</x:v>
      </x:c>
      <x:c r="C34" s="37" t="str">
        <x:v>Round 2</x:v>
      </x:c>
      <x:c r="D34" s="37" t="str">
        <x:v>Student C</x:v>
      </x:c>
      <x:c r="E34" s="37" t="n">
        <x:v>3</x:v>
      </x:c>
      <x:c r="F34" s="37" t="n">
        <x:v>3</x:v>
      </x:c>
      <x:c r="G34" s="37" t="str">
        <x:v>Medium</x:v>
      </x:c>
      <x:c r="H34" s="37" t="str">
        <x:v>Observed association</x:v>
      </x:c>
      <x:c r="I34" s="37" t="str">
        <x:v>MCQ</x:v>
      </x:c>
      <x:c r="J34" s="37" t="str">
        <x:v>In an observational dataset, the treated mean outcome is 0.40 and the untreated mean outcome is 0.55. What is the naive treated-minus-untreated difference?</x:v>
      </x:c>
      <x:c r="K34" s="37" t="str">
        <x:v>-0.15</x:v>
      </x:c>
      <x:c r="L34" s="37" t="str">
        <x:v>+0.15</x:v>
      </x:c>
      <x:c r="M34" s="37" t="str">
        <x:v>0.40</x:v>
      </x:c>
      <x:c r="N34" s="37" t="str">
        <x:v>0.95</x:v>
      </x:c>
      <x:c r="O34" s="37" t="str">
        <x:v>A</x:v>
      </x:c>
      <x:c r="P34" s="37" t="str">
        <x:v>0.40 - 0.55 = -0.15.</x:v>
      </x:c>
      <x:c r="Q34" s="37" t="str">
        <x:v>Useful for the experiment's naive analysis.</x:v>
      </x:c>
    </x:row>
    <x:row r="35" ht="60" customHeight="1">
      <x:c r="A35" s="37" t="str">
        <x:v>Q034</x:v>
      </x:c>
      <x:c r="B35" s="37" t="str">
        <x:v>Core 36</x:v>
      </x:c>
      <x:c r="C35" s="37" t="str">
        <x:v>Round 2</x:v>
      </x:c>
      <x:c r="D35" s="37" t="str">
        <x:v>Student C</x:v>
      </x:c>
      <x:c r="E35" s="37" t="n">
        <x:v>4</x:v>
      </x:c>
      <x:c r="F35" s="37" t="n">
        <x:v>3</x:v>
      </x:c>
      <x:c r="G35" s="37" t="str">
        <x:v>Medium</x:v>
      </x:c>
      <x:c r="H35" s="37" t="str">
        <x:v>Matching</x:v>
      </x:c>
      <x:c r="I35" s="37" t="str">
        <x:v>MCQ</x:v>
      </x:c>
      <x:c r="J35" s="37" t="str">
        <x:v>Matching is intended to:</x:v>
      </x:c>
      <x:c r="K35" s="37" t="str">
        <x:v>Find treated and untreated units with similar covariate values or propensity scores, then compare their outcomes.</x:v>
      </x:c>
      <x:c r="L35" s="37" t="str">
        <x:v>Make the sample size exactly zero.</x:v>
      </x:c>
      <x:c r="M35" s="37" t="str">
        <x:v>Condition on colliders by design.</x:v>
      </x:c>
      <x:c r="N35" s="37" t="str">
        <x:v>Replace causal assumptions with p-values.</x:v>
      </x:c>
      <x:c r="O35" s="37" t="str">
        <x:v>A</x:v>
      </x:c>
      <x:c r="P35" s="37" t="str">
        <x:v>Matching tries to create balanced treated and untreated groups on measured confounders.</x:v>
      </x:c>
      <x:c r="Q35" s="37" t="str"/>
    </x:row>
    <x:row r="36" ht="60" customHeight="1">
      <x:c r="A36" s="37" t="str">
        <x:v>Q035</x:v>
      </x:c>
      <x:c r="B36" s="37" t="str">
        <x:v>Core 36</x:v>
      </x:c>
      <x:c r="C36" s="37" t="str">
        <x:v>Round 2</x:v>
      </x:c>
      <x:c r="D36" s="37" t="str">
        <x:v>Student C</x:v>
      </x:c>
      <x:c r="E36" s="37" t="n">
        <x:v>5</x:v>
      </x:c>
      <x:c r="F36" s="37" t="n">
        <x:v>4</x:v>
      </x:c>
      <x:c r="G36" s="37" t="str">
        <x:v>Hard</x:v>
      </x:c>
      <x:c r="H36" s="37" t="str">
        <x:v>Causal language / study design</x:v>
      </x:c>
      <x:c r="I36" s="37" t="str">
        <x:v>MCQ</x:v>
      </x:c>
      <x:c r="J36" s="37" t="str">
        <x:v>Why is it misleading to simply say 'RCTs are causal, observational studies are never causal'?</x:v>
      </x:c>
      <x:c r="K36" s="37" t="str">
        <x:v>Because observational data always prove causality.</x:v>
      </x:c>
      <x:c r="L36" s="37" t="str">
        <x:v>Because the research goal may be causal in either case; the issue is whether the design, assumptions, and analysis justify the causal inference.</x:v>
      </x:c>
      <x:c r="M36" s="37" t="str">
        <x:v>Because RCTs never need assumptions.</x:v>
      </x:c>
      <x:c r="N36" s="37" t="str">
        <x:v>Because causal language is unrelated to research questions.</x:v>
      </x:c>
      <x:c r="O36" s="37" t="str">
        <x:v>B</x:v>
      </x:c>
      <x:c r="P36" s="37" t="str">
        <x:v>Causal modeling asks when causal effects can be learned from data, not just whether a study is labeled randomized or observational.</x:v>
      </x:c>
      <x:c r="Q36" s="37" t="str">
        <x:v>Conceptual; may be harder than it looks.</x:v>
      </x:c>
    </x:row>
    <x:row r="37" ht="60" customHeight="1">
      <x:c r="A37" s="37" t="str">
        <x:v>Q036</x:v>
      </x:c>
      <x:c r="B37" s="37" t="str">
        <x:v>Core 36</x:v>
      </x:c>
      <x:c r="C37" s="37" t="str">
        <x:v>Round 2</x:v>
      </x:c>
      <x:c r="D37" s="37" t="str">
        <x:v>Student C</x:v>
      </x:c>
      <x:c r="E37" s="37" t="n">
        <x:v>6</x:v>
      </x:c>
      <x:c r="F37" s="37" t="n">
        <x:v>5</x:v>
      </x:c>
      <x:c r="G37" s="37" t="str">
        <x:v>Hard</x:v>
      </x:c>
      <x:c r="H37" s="37" t="str">
        <x:v>Back-door adjustment</x:v>
      </x:c>
      <x:c r="I37" s="37" t="str">
        <x:v>MCQ</x:v>
      </x:c>
      <x:c r="J37" s="37" t="str">
        <x:v>Graph: X &lt;- A -&gt; B -&gt; Y, X &lt;- C -&gt; Y, and X -&gt; Y. Which adjustment set blocks the listed back-door paths while preserving the direct causal path X -&gt; Y?</x:v>
      </x:c>
      <x:c r="K37" s="37" t="str">
        <x:v>{A}</x:v>
      </x:c>
      <x:c r="L37" s="37" t="str">
        <x:v>{C}</x:v>
      </x:c>
      <x:c r="M37" s="37" t="str">
        <x:v>{A, C}</x:v>
      </x:c>
      <x:c r="N37" s="37" t="str">
        <x:v>{A, B}</x:v>
      </x:c>
      <x:c r="O37" s="37" t="str">
        <x:v>C</x:v>
      </x:c>
      <x:c r="P37" s="37" t="str">
        <x:v>{A,C} blocks X &lt;- A -&gt; B -&gt; Y and X &lt;- C -&gt; Y. Adjusting for only A or only C leaves one back-door path open.</x:v>
      </x:c>
      <x:c r="Q37" s="37" t="str">
        <x:v>Hard DAG synthesis.</x:v>
      </x:c>
    </x:row>
    <x:row r="38" ht="60" customHeight="1">
      <x:c r="A38" s="37" t="str">
        <x:v>Q037</x:v>
      </x:c>
      <x:c r="B38" s="37" t="str">
        <x:v>Reserve</x:v>
      </x:c>
      <x:c r="C38" s="37" t="str"/>
      <x:c r="D38" s="37" t="str"/>
      <x:c r="E38" s="37" t="str"/>
      <x:c r="F38" s="37" t="n">
        <x:v>1</x:v>
      </x:c>
      <x:c r="G38" s="37" t="str">
        <x:v>Easy</x:v>
      </x:c>
      <x:c r="H38" s="37" t="str">
        <x:v>Statistical vs causal questions</x:v>
      </x:c>
      <x:c r="I38" s="37" t="str">
        <x:v>MCQ</x:v>
      </x:c>
      <x:c r="J38" s="37" t="str">
        <x:v>Which question is most clearly causal rather than merely descriptive or predictive?</x:v>
      </x:c>
      <x:c r="K38" s="37" t="str">
        <x:v>What is P(Y | X=5) in the observed data?</x:v>
      </x:c>
      <x:c r="L38" s="37" t="str">
        <x:v>What is the mean of X in the sample?</x:v>
      </x:c>
      <x:c r="M38" s="37" t="str">
        <x:v>What phenotype would occur if gene X expression were suppressed?</x:v>
      </x:c>
      <x:c r="N38" s="37" t="str">
        <x:v>Are X and Y correlated?</x:v>
      </x:c>
      <x:c r="O38" s="37" t="str">
        <x:v>C</x:v>
      </x:c>
      <x:c r="P38" s="37" t="str">
        <x:v>It asks about an intervention on gene expression.</x:v>
      </x:c>
      <x:c r="Q38" s="37" t="str">
        <x:v>Reserve easy.</x:v>
      </x:c>
    </x:row>
    <x:row r="39" ht="60" customHeight="1">
      <x:c r="A39" s="37" t="str">
        <x:v>Q038</x:v>
      </x:c>
      <x:c r="B39" s="37" t="str">
        <x:v>Reserve</x:v>
      </x:c>
      <x:c r="C39" s="37" t="str"/>
      <x:c r="D39" s="37" t="str"/>
      <x:c r="E39" s="37" t="str"/>
      <x:c r="F39" s="37" t="n">
        <x:v>1</x:v>
      </x:c>
      <x:c r="G39" s="37" t="str">
        <x:v>Easy</x:v>
      </x:c>
      <x:c r="H39" s="37" t="str">
        <x:v>DAG basics</x:v>
      </x:c>
      <x:c r="I39" s="37" t="str">
        <x:v>MCQ</x:v>
      </x:c>
      <x:c r="J39" s="37" t="str">
        <x:v>What does the word 'acyclic' mean in directed acyclic graph?</x:v>
      </x:c>
      <x:c r="K39" s="37" t="str">
        <x:v>There is no directed cycle that returns to a variable.</x:v>
      </x:c>
      <x:c r="L39" s="37" t="str">
        <x:v>Every variable has exactly two parents.</x:v>
      </x:c>
      <x:c r="M39" s="37" t="str">
        <x:v>All arrows point left.</x:v>
      </x:c>
      <x:c r="N39" s="37" t="str">
        <x:v>The graph contains no variables.</x:v>
      </x:c>
      <x:c r="O39" s="37" t="str">
        <x:v>A</x:v>
      </x:c>
      <x:c r="P39" s="37" t="str">
        <x:v>A DAG cannot contain a directed loop such as X -&gt; Y -&gt; X.</x:v>
      </x:c>
      <x:c r="Q39" s="37" t="str"/>
    </x:row>
    <x:row r="40" ht="60" customHeight="1">
      <x:c r="A40" s="37" t="str">
        <x:v>Q039</x:v>
      </x:c>
      <x:c r="B40" s="37" t="str">
        <x:v>Reserve</x:v>
      </x:c>
      <x:c r="C40" s="37" t="str"/>
      <x:c r="D40" s="37" t="str"/>
      <x:c r="E40" s="37" t="str"/>
      <x:c r="F40" s="37" t="n">
        <x:v>2</x:v>
      </x:c>
      <x:c r="G40" s="37" t="str">
        <x:v>Easy</x:v>
      </x:c>
      <x:c r="H40" s="37" t="str">
        <x:v>No interference</x:v>
      </x:c>
      <x:c r="I40" s="37" t="str">
        <x:v>MCQ</x:v>
      </x:c>
      <x:c r="J40" s="37" t="str">
        <x:v>No interference means:</x:v>
      </x:c>
      <x:c r="K40" s="37" t="str">
        <x:v>One unit's potential outcomes do not depend on treatments assigned to other units.</x:v>
      </x:c>
      <x:c r="L40" s="37" t="str">
        <x:v>The treatment effect is zero.</x:v>
      </x:c>
      <x:c r="M40" s="37" t="str">
        <x:v>No one talks during the experiment.</x:v>
      </x:c>
      <x:c r="N40" s="37" t="str">
        <x:v>All covariates are measured without error.</x:v>
      </x:c>
      <x:c r="O40" s="37" t="str">
        <x:v>A</x:v>
      </x:c>
      <x:c r="P40" s="37" t="str">
        <x:v>No interference is the part of SUTVA about treatments assigned to other units.</x:v>
      </x:c>
      <x:c r="Q40" s="37" t="str">
        <x:v>Classroom experiment can violate this if discussion spills over.</x:v>
      </x:c>
    </x:row>
    <x:row r="41" ht="60" customHeight="1">
      <x:c r="A41" s="37" t="str">
        <x:v>Q040</x:v>
      </x:c>
      <x:c r="B41" s="37" t="str">
        <x:v>Reserve</x:v>
      </x:c>
      <x:c r="C41" s="37" t="str"/>
      <x:c r="D41" s="37" t="str"/>
      <x:c r="E41" s="37" t="str"/>
      <x:c r="F41" s="37" t="n">
        <x:v>2</x:v>
      </x:c>
      <x:c r="G41" s="37" t="str">
        <x:v>Easy</x:v>
      </x:c>
      <x:c r="H41" s="37" t="str">
        <x:v>Propensity scores</x:v>
      </x:c>
      <x:c r="I41" s="37" t="str">
        <x:v>MCQ</x:v>
      </x:c>
      <x:c r="J41" s="37" t="str">
        <x:v>A propensity score is:</x:v>
      </x:c>
      <x:c r="K41" s="37" t="str">
        <x:v>P(Y=1 | X=1).</x:v>
      </x:c>
      <x:c r="L41" s="37" t="str">
        <x:v>P(X=1 | Z), the probability of treatment given covariates.</x:v>
      </x:c>
      <x:c r="M41" s="37" t="str">
        <x:v>The observed treatment effect.</x:v>
      </x:c>
      <x:c r="N41" s="37" t="str">
        <x:v>A measure of outcome variance only.</x:v>
      </x:c>
      <x:c r="O41" s="37" t="str">
        <x:v>B</x:v>
      </x:c>
      <x:c r="P41" s="37" t="str">
        <x:v>Propensity scores summarize how measured covariates predict treatment assignment.</x:v>
      </x:c>
      <x:c r="Q41" s="37" t="str"/>
    </x:row>
    <x:row r="42" ht="60" customHeight="1">
      <x:c r="A42" s="37" t="str">
        <x:v>Q041</x:v>
      </x:c>
      <x:c r="B42" s="37" t="str">
        <x:v>Reserve</x:v>
      </x:c>
      <x:c r="C42" s="37" t="str"/>
      <x:c r="D42" s="37" t="str"/>
      <x:c r="E42" s="37" t="str"/>
      <x:c r="F42" s="37" t="n">
        <x:v>3</x:v>
      </x:c>
      <x:c r="G42" s="37" t="str">
        <x:v>Medium</x:v>
      </x:c>
      <x:c r="H42" s="37" t="str">
        <x:v>Potential outcomes / ATE</x:v>
      </x:c>
      <x:c r="I42" s="37" t="str">
        <x:v>Numeric</x:v>
      </x:c>
      <x:c r="J42" s="37" t="str">
        <x:v>If E[Y^1]=0.62 and E[Y^0]=0.45, what is the ATE?</x:v>
      </x:c>
      <x:c r="K42" s="37" t="str"/>
      <x:c r="L42" s="37" t="str"/>
      <x:c r="M42" s="37" t="str"/>
      <x:c r="N42" s="37" t="str"/>
      <x:c r="O42" s="37" t="str">
        <x:v>0.17</x:v>
      </x:c>
      <x:c r="P42" s="37" t="str">
        <x:v>0.62 - 0.45 = 0.17.</x:v>
      </x:c>
      <x:c r="Q42" s="37" t="str"/>
    </x:row>
    <x:row r="43" ht="60" customHeight="1">
      <x:c r="A43" s="37" t="str">
        <x:v>Q042</x:v>
      </x:c>
      <x:c r="B43" s="37" t="str">
        <x:v>Reserve</x:v>
      </x:c>
      <x:c r="C43" s="37" t="str"/>
      <x:c r="D43" s="37" t="str"/>
      <x:c r="E43" s="37" t="str"/>
      <x:c r="F43" s="37" t="n">
        <x:v>3</x:v>
      </x:c>
      <x:c r="G43" s="37" t="str">
        <x:v>Medium</x:v>
      </x:c>
      <x:c r="H43" s="37" t="str">
        <x:v>SUTVA</x:v>
      </x:c>
      <x:c r="I43" s="37" t="str">
        <x:v>MCQ</x:v>
      </x:c>
      <x:c r="J43" s="37" t="str">
        <x:v>SUTVA combines which two ideas?</x:v>
      </x:c>
      <x:c r="K43" s="37" t="str">
        <x:v>Consistency and no interference.</x:v>
      </x:c>
      <x:c r="L43" s="37" t="str">
        <x:v>Linearity and homoskedasticity.</x:v>
      </x:c>
      <x:c r="M43" s="37" t="str">
        <x:v>Randomization and blinding only.</x:v>
      </x:c>
      <x:c r="N43" s="37" t="str">
        <x:v>Acyclicity and normality.</x:v>
      </x:c>
      <x:c r="O43" s="37" t="str">
        <x:v>A</x:v>
      </x:c>
      <x:c r="P43" s="37" t="str">
        <x:v>SUTVA includes well-defined treatment versions/consistency and no interference.</x:v>
      </x:c>
      <x:c r="Q43" s="37" t="str"/>
    </x:row>
    <x:row r="44" ht="60" customHeight="1">
      <x:c r="A44" s="37" t="str">
        <x:v>Q043</x:v>
      </x:c>
      <x:c r="B44" s="37" t="str">
        <x:v>Reserve</x:v>
      </x:c>
      <x:c r="C44" s="37" t="str"/>
      <x:c r="D44" s="37" t="str"/>
      <x:c r="E44" s="37" t="str"/>
      <x:c r="F44" s="37" t="n">
        <x:v>3</x:v>
      </x:c>
      <x:c r="G44" s="37" t="str">
        <x:v>Medium</x:v>
      </x:c>
      <x:c r="H44" s="37" t="str">
        <x:v>Mediation</x:v>
      </x:c>
      <x:c r="I44" s="37" t="str">
        <x:v>MCQ</x:v>
      </x:c>
      <x:c r="J44" s="37" t="str">
        <x:v>Graph: X -&gt; M -&gt; Y and X -&gt; Y. What role does M play?</x:v>
      </x:c>
      <x:c r="K44" s="37" t="str">
        <x:v>Mediator.</x:v>
      </x:c>
      <x:c r="L44" s="37" t="str">
        <x:v>Collider.</x:v>
      </x:c>
      <x:c r="M44" s="37" t="str">
        <x:v>Instrument.</x:v>
      </x:c>
      <x:c r="N44" s="37" t="str">
        <x:v>Unrelated variable.</x:v>
      </x:c>
      <x:c r="O44" s="37" t="str">
        <x:v>A</x:v>
      </x:c>
      <x:c r="P44" s="37" t="str">
        <x:v>M transmits part of the effect of X on Y.</x:v>
      </x:c>
      <x:c r="Q44" s="37" t="str"/>
    </x:row>
    <x:row r="45" ht="60" customHeight="1">
      <x:c r="A45" s="37" t="str">
        <x:v>Q044</x:v>
      </x:c>
      <x:c r="B45" s="37" t="str">
        <x:v>Reserve</x:v>
      </x:c>
      <x:c r="C45" s="37" t="str"/>
      <x:c r="D45" s="37" t="str"/>
      <x:c r="E45" s="37" t="str"/>
      <x:c r="F45" s="37" t="n">
        <x:v>3</x:v>
      </x:c>
      <x:c r="G45" s="37" t="str">
        <x:v>Medium</x:v>
      </x:c>
      <x:c r="H45" s="37" t="str">
        <x:v>Stratification</x:v>
      </x:c>
      <x:c r="I45" s="37" t="str">
        <x:v>MCQ</x:v>
      </x:c>
      <x:c r="J45" s="37" t="str">
        <x:v>A stratified analysis gives effects 0.10 in stratum Z=0 and 0.30 in stratum Z=1. The target population weights are 0.40 and 0.60. What is the weighted effect?</x:v>
      </x:c>
      <x:c r="K45" s="37" t="str">
        <x:v>0.18</x:v>
      </x:c>
      <x:c r="L45" s="37" t="str">
        <x:v>0.20</x:v>
      </x:c>
      <x:c r="M45" s="37" t="str">
        <x:v>0.22</x:v>
      </x:c>
      <x:c r="N45" s="37" t="str">
        <x:v>0.30</x:v>
      </x:c>
      <x:c r="O45" s="37" t="str">
        <x:v>C</x:v>
      </x:c>
      <x:c r="P45" s="37" t="str">
        <x:v>0.40*0.10 + 0.60*0.30 = 0.04 + 0.18 = 0.22.</x:v>
      </x:c>
      <x:c r="Q45" s="37" t="str"/>
    </x:row>
    <x:row r="46" ht="60" customHeight="1">
      <x:c r="A46" s="37" t="str">
        <x:v>Q045</x:v>
      </x:c>
      <x:c r="B46" s="37" t="str">
        <x:v>Reserve</x:v>
      </x:c>
      <x:c r="C46" s="37" t="str"/>
      <x:c r="D46" s="37" t="str"/>
      <x:c r="E46" s="37" t="str"/>
      <x:c r="F46" s="37" t="n">
        <x:v>4</x:v>
      </x:c>
      <x:c r="G46" s="37" t="str">
        <x:v>Hard</x:v>
      </x:c>
      <x:c r="H46" s="37" t="str">
        <x:v>Confounding</x:v>
      </x:c>
      <x:c r="I46" s="37" t="str">
        <x:v>MCQ</x:v>
      </x:c>
      <x:c r="J46" s="37" t="str">
        <x:v>Graph: Z -&gt; X and Z -&gt; Y, with no causal arrow X -&gt; Y. If you perfectly condition on Z, what association between X and Y should remain through this path?</x:v>
      </x:c>
      <x:c r="K46" s="37" t="str">
        <x:v>No association through that path.</x:v>
      </x:c>
      <x:c r="L46" s="37" t="str">
        <x:v>A stronger positive association.</x:v>
      </x:c>
      <x:c r="M46" s="37" t="str">
        <x:v>A stronger negative association.</x:v>
      </x:c>
      <x:c r="N46" s="37" t="str">
        <x:v>A guaranteed causal effect.</x:v>
      </x:c>
      <x:c r="O46" s="37" t="str">
        <x:v>A</x:v>
      </x:c>
      <x:c r="P46" s="37" t="str">
        <x:v>Conditioning on the common cause blocks the fork path.</x:v>
      </x:c>
      <x:c r="Q46" s="37" t="str"/>
    </x:row>
    <x:row r="47" ht="60" customHeight="1">
      <x:c r="A47" s="37" t="str">
        <x:v>Q046</x:v>
      </x:c>
      <x:c r="B47" s="37" t="str">
        <x:v>Reserve</x:v>
      </x:c>
      <x:c r="C47" s="37" t="str"/>
      <x:c r="D47" s="37" t="str"/>
      <x:c r="E47" s="37" t="str"/>
      <x:c r="F47" s="37" t="n">
        <x:v>4</x:v>
      </x:c>
      <x:c r="G47" s="37" t="str">
        <x:v>Hard</x:v>
      </x:c>
      <x:c r="H47" s="37" t="str">
        <x:v>Collider / bad controls</x:v>
      </x:c>
      <x:c r="I47" s="37" t="str">
        <x:v>MCQ</x:v>
      </x:c>
      <x:c r="J47" s="37" t="str">
        <x:v>Graph: X -&gt; S &lt;- Y. What is the main danger of analyzing only units with S=1?</x:v>
      </x:c>
      <x:c r="K47" s="37" t="str">
        <x:v>It conditions on a collider and can induce association between X and Y.</x:v>
      </x:c>
      <x:c r="L47" s="37" t="str">
        <x:v>It always removes every bias.</x:v>
      </x:c>
      <x:c r="M47" s="37" t="str">
        <x:v>It creates a randomized experiment.</x:v>
      </x:c>
      <x:c r="N47" s="37" t="str">
        <x:v>It makes X cause S impossible.</x:v>
      </x:c>
      <x:c r="O47" s="37" t="str">
        <x:v>A</x:v>
      </x:c>
      <x:c r="P47" s="37" t="str">
        <x:v>Selecting on S conditions on a common effect.</x:v>
      </x:c>
      <x:c r="Q47" s="37" t="str"/>
    </x:row>
    <x:row r="48" ht="60" customHeight="1">
      <x:c r="A48" s="37" t="str">
        <x:v>Q047</x:v>
      </x:c>
      <x:c r="B48" s="37" t="str">
        <x:v>Reserve</x:v>
      </x:c>
      <x:c r="C48" s="37" t="str"/>
      <x:c r="D48" s="37" t="str"/>
      <x:c r="E48" s="37" t="str"/>
      <x:c r="F48" s="37" t="n">
        <x:v>5</x:v>
      </x:c>
      <x:c r="G48" s="37" t="str">
        <x:v>Hard</x:v>
      </x:c>
      <x:c r="H48" s="37" t="str">
        <x:v>DAG basics</x:v>
      </x:c>
      <x:c r="I48" s="37" t="str">
        <x:v>MCQ</x:v>
      </x:c>
      <x:c r="J48" s="37" t="str">
        <x:v>Which graph is not a DAG because it contains a directed cycle?</x:v>
      </x:c>
      <x:c r="K48" s="37" t="str">
        <x:v>X -&gt; Y -&gt; Z.</x:v>
      </x:c>
      <x:c r="L48" s="37" t="str">
        <x:v>X &lt;- Y -&gt; Z.</x:v>
      </x:c>
      <x:c r="M48" s="37" t="str">
        <x:v>X -&gt; Y -&gt; Z -&gt; X.</x:v>
      </x:c>
      <x:c r="N48" s="37" t="str">
        <x:v>X -&gt; Y &lt;- Z.</x:v>
      </x:c>
      <x:c r="O48" s="37" t="str">
        <x:v>C</x:v>
      </x:c>
      <x:c r="P48" s="37" t="str">
        <x:v>X -&gt; Y -&gt; Z -&gt; X returns to X along directed arrows, so it is cyclic.</x:v>
      </x:c>
      <x:c r="Q48" s="37" t="str"/>
    </x:row>
    <x:row r="49" ht="60" customHeight="1">
      <x:c r="A49" s="37" t="str">
        <x:v>Q048</x:v>
      </x:c>
      <x:c r="B49" s="37" t="str">
        <x:v>Reserve</x:v>
      </x:c>
      <x:c r="C49" s="37" t="str"/>
      <x:c r="D49" s="37" t="str"/>
      <x:c r="E49" s="37" t="str"/>
      <x:c r="F49" s="37" t="n">
        <x:v>5</x:v>
      </x:c>
      <x:c r="G49" s="37" t="str">
        <x:v>Hard</x:v>
      </x:c>
      <x:c r="H49" s="37" t="str">
        <x:v>Back-door adjustment / collider</x:v>
      </x:c>
      <x:c r="I49" s="37" t="str">
        <x:v>MCQ</x:v>
      </x:c>
      <x:c r="J49" s="37" t="str">
        <x:v>Graph: U -&gt; X, U -&gt; Y, X -&gt; Y, and X -&gt; S &lt;- Y. You want the total effect of X on Y. Which adjustment set is best?</x:v>
      </x:c>
      <x:c r="K49" s="37" t="str">
        <x:v>No adjustment.</x:v>
      </x:c>
      <x:c r="L49" s="37" t="str">
        <x:v>{S}.</x:v>
      </x:c>
      <x:c r="M49" s="37" t="str">
        <x:v>{U}.</x:v>
      </x:c>
      <x:c r="N49" s="37" t="str">
        <x:v>{U, S}.</x:v>
      </x:c>
      <x:c r="O49" s="37" t="str">
        <x:v>C</x:v>
      </x:c>
      <x:c r="P49" s="37" t="str">
        <x:v>U is the confounder to adjust for. S is a collider caused by X and Y; adjusting for S can induce bias.</x:v>
      </x:c>
      <x:c r="Q49" s="37" t="str">
        <x:v>Hard synthesis of confounding and collider bias.</x:v>
      </x:c>
    </x:row>
  </x:sheetData>
  <x:conditionalFormatting sqref="F2:F4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33fa03fdb264e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6" hidden="0" customWidth="1"/>
    <x:col min="4" max="4" width="8" hidden="0" customWidth="1"/>
    <x:col min="5" max="5" width="10" hidden="0" customWidth="1"/>
    <x:col min="6" max="6" width="10" hidden="0" customWidth="1"/>
    <x:col min="7" max="7" width="22" hidden="0" customWidth="1"/>
    <x:col min="8" max="8" width="12" hidden="0" customWidth="1"/>
    <x:col min="9" max="9" width="70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>
      <x:c r="A1" s="36" t="str">
        <x:v>Round</x:v>
      </x:c>
      <x:c r="B1" s="36" t="str">
        <x:v>Student form</x:v>
      </x:c>
      <x:c r="C1" s="36" t="str">
        <x:v>Slot</x:v>
      </x:c>
      <x:c r="D1" s="36" t="str">
        <x:v>ID</x:v>
      </x:c>
      <x:c r="E1" s="36" t="str">
        <x:v>Difficulty</x:v>
      </x:c>
      <x:c r="F1" s="36" t="str">
        <x:v>Band</x:v>
      </x:c>
      <x:c r="G1" s="36" t="str">
        <x:v>Topic</x:v>
      </x:c>
      <x:c r="H1" s="36" t="str">
        <x:v>Type</x:v>
      </x:c>
      <x:c r="I1" s="36" t="str">
        <x:v>Question</x:v>
      </x:c>
      <x:c r="J1" s="36" t="str">
        <x:v>Option A</x:v>
      </x:c>
      <x:c r="K1" s="36" t="str">
        <x:v>Option B</x:v>
      </x:c>
      <x:c r="L1" s="36" t="str">
        <x:v>Option C</x:v>
      </x:c>
      <x:c r="M1" s="36" t="str">
        <x:v>Option D</x:v>
      </x:c>
    </x:row>
    <x:row r="2" ht="64" customHeight="1">
      <x:c r="A2" s="37" t="str">
        <x:v>Round 1</x:v>
      </x:c>
      <x:c r="B2" s="37" t="str">
        <x:v>Student A</x:v>
      </x:c>
      <x:c r="C2" s="37" t="n">
        <x:v>1</x:v>
      </x:c>
      <x:c r="D2" s="37" t="str">
        <x:v>Q001</x:v>
      </x:c>
      <x:c r="E2" s="37" t="n">
        <x:v>1</x:v>
      </x:c>
      <x:c r="F2" s="37" t="str">
        <x:v>Easy</x:v>
      </x:c>
      <x:c r="G2" s="37" t="str">
        <x:v>Potential outcomes</x:v>
      </x:c>
      <x:c r="H2" s="37" t="str">
        <x:v>MCQ</x:v>
      </x:c>
      <x:c r="I2" s="37" t="str">
        <x:v>Which expression is the average treatment effect (ATE) for a binary treatment X?</x:v>
      </x:c>
      <x:c r="J2" s="37" t="str">
        <x:v>E[Y | X=1] - E[Y | X=0]</x:v>
      </x:c>
      <x:c r="K2" s="37" t="str">
        <x:v>E[Y^1] - E[Y^0]</x:v>
      </x:c>
      <x:c r="L2" s="37" t="str">
        <x:v>P(X=1 | Y=1)</x:v>
      </x:c>
      <x:c r="M2" s="37" t="str">
        <x:v>Y_i^1 - Y_i^0 for one unit</x:v>
      </x:c>
    </x:row>
    <x:row r="3" ht="64" customHeight="1">
      <x:c r="A3" s="37" t="str">
        <x:v>Round 1</x:v>
      </x:c>
      <x:c r="B3" s="37" t="str">
        <x:v>Student A</x:v>
      </x:c>
      <x:c r="C3" s="37" t="n">
        <x:v>2</x:v>
      </x:c>
      <x:c r="D3" s="37" t="str">
        <x:v>Q002</x:v>
      </x:c>
      <x:c r="E3" s="37" t="n">
        <x:v>2</x:v>
      </x:c>
      <x:c r="F3" s="37" t="str">
        <x:v>Easy</x:v>
      </x:c>
      <x:c r="G3" s="37" t="str">
        <x:v>Potential outcomes</x:v>
      </x:c>
      <x:c r="H3" s="37" t="str">
        <x:v>True/False</x:v>
      </x:c>
      <x:c r="I3" s="37" t="str">
        <x:v>A student receives peer discussion (X=1). In potential-outcome notation, the observed outcome is Y^1 and Y^0 is counterfactual for that student.</x:v>
      </x:c>
      <x:c r="J3" s="37" t="str">
        <x:v>True</x:v>
      </x:c>
      <x:c r="K3" s="37" t="str">
        <x:v>False</x:v>
      </x:c>
      <x:c r="L3" s="37" t="str"/>
      <x:c r="M3" s="37" t="str"/>
    </x:row>
    <x:row r="4" ht="64" customHeight="1">
      <x:c r="A4" s="37" t="str">
        <x:v>Round 1</x:v>
      </x:c>
      <x:c r="B4" s="37" t="str">
        <x:v>Student A</x:v>
      </x:c>
      <x:c r="C4" s="37" t="n">
        <x:v>3</x:v>
      </x:c>
      <x:c r="D4" s="37" t="str">
        <x:v>Q003</x:v>
      </x:c>
      <x:c r="E4" s="37" t="n">
        <x:v>3</x:v>
      </x:c>
      <x:c r="F4" s="37" t="str">
        <x:v>Medium</x:v>
      </x:c>
      <x:c r="G4" s="37" t="str">
        <x:v>Potential outcomes</x:v>
      </x:c>
      <x:c r="H4" s="37" t="str">
        <x:v>Numeric</x:v>
      </x:c>
      <x:c r="I4" s="37" t="str">
        <x:v>For four units, Y^1 = (1, 0, 1, 1) and Y^0 = (0, 0, 1, 0). What is the ATE?</x:v>
      </x:c>
      <x:c r="J4" s="37" t="str"/>
      <x:c r="K4" s="37" t="str"/>
      <x:c r="L4" s="37" t="str"/>
      <x:c r="M4" s="37" t="str"/>
    </x:row>
    <x:row r="5" ht="64" customHeight="1">
      <x:c r="A5" s="37" t="str">
        <x:v>Round 1</x:v>
      </x:c>
      <x:c r="B5" s="37" t="str">
        <x:v>Student A</x:v>
      </x:c>
      <x:c r="C5" s="37" t="n">
        <x:v>4</x:v>
      </x:c>
      <x:c r="D5" s="37" t="str">
        <x:v>Q004</x:v>
      </x:c>
      <x:c r="E5" s="37" t="n">
        <x:v>3</x:v>
      </x:c>
      <x:c r="F5" s="37" t="str">
        <x:v>Medium</x:v>
      </x:c>
      <x:c r="G5" s="37" t="str">
        <x:v>DAG patterns</x:v>
      </x:c>
      <x:c r="H5" s="37" t="str">
        <x:v>MCQ</x:v>
      </x:c>
      <x:c r="I5" s="37" t="str">
        <x:v>Consider the fork DAG Z -&gt; X and Z -&gt; Y, with no arrow from X to Y. Which statement is correct?</x:v>
      </x:c>
      <x:c r="J5" s="37" t="str">
        <x:v>X and Y must be independent marginally and dependent after conditioning on Z.</x:v>
      </x:c>
      <x:c r="K5" s="37" t="str">
        <x:v>X and Y may be associated marginally, but the path is blocked by conditioning on Z.</x:v>
      </x:c>
      <x:c r="L5" s="37" t="str">
        <x:v>Z is a collider.</x:v>
      </x:c>
      <x:c r="M5" s="37" t="str">
        <x:v>Z is a mediator from X to Y.</x:v>
      </x:c>
    </x:row>
    <x:row r="6" ht="64" customHeight="1">
      <x:c r="A6" s="37" t="str">
        <x:v>Round 1</x:v>
      </x:c>
      <x:c r="B6" s="37" t="str">
        <x:v>Student A</x:v>
      </x:c>
      <x:c r="C6" s="37" t="n">
        <x:v>5</x:v>
      </x:c>
      <x:c r="D6" s="37" t="str">
        <x:v>Q005</x:v>
      </x:c>
      <x:c r="E6" s="37" t="n">
        <x:v>4</x:v>
      </x:c>
      <x:c r="F6" s="37" t="str">
        <x:v>Hard</x:v>
      </x:c>
      <x:c r="G6" s="37" t="str">
        <x:v>Confounding / standardization</x:v>
      </x:c>
      <x:c r="H6" s="37" t="str">
        <x:v>MCQ</x:v>
      </x:c>
      <x:c r="I6" s="37" t="str">
        <x:v>In the delivery example, within low-risk pregnancies hospital outcome=95% and home=90%; within high-risk pregnancies hospital=80% and home=50%. In a target population with 80% low-risk and 20% high-risk pregnancies, what is the risk-standardized effect of hospital versus home delivery on good outcome?</x:v>
      </x:c>
      <x:c r="J6" s="37" t="str">
        <x:v>-0.045</x:v>
      </x:c>
      <x:c r="K6" s="37" t="str">
        <x:v>0.00</x:v>
      </x:c>
      <x:c r="L6" s="37" t="str">
        <x:v>+0.10</x:v>
      </x:c>
      <x:c r="M6" s="37" t="str">
        <x:v>+0.50</x:v>
      </x:c>
    </x:row>
    <x:row r="7" ht="64" customHeight="1">
      <x:c r="A7" s="37" t="str">
        <x:v>Round 1</x:v>
      </x:c>
      <x:c r="B7" s="37" t="str">
        <x:v>Student A</x:v>
      </x:c>
      <x:c r="C7" s="37" t="n">
        <x:v>6</x:v>
      </x:c>
      <x:c r="D7" s="37" t="str">
        <x:v>Q006</x:v>
      </x:c>
      <x:c r="E7" s="37" t="n">
        <x:v>5</x:v>
      </x:c>
      <x:c r="F7" s="37" t="str">
        <x:v>Hard</x:v>
      </x:c>
      <x:c r="G7" s="37" t="str">
        <x:v>Back-door adjustment</x:v>
      </x:c>
      <x:c r="H7" s="37" t="str">
        <x:v>MCQ</x:v>
      </x:c>
      <x:c r="I7" s="37" t="str">
        <x:v>Graph: Z -&gt; X, Z -&gt; Y, X -&gt; M, M -&gt; Y. You want the total effect of X on Y. Which adjustment set is best?</x:v>
      </x:c>
      <x:c r="J7" s="37" t="str">
        <x:v>Do not adjust for any variable.</x:v>
      </x:c>
      <x:c r="K7" s="37" t="str">
        <x:v>Adjust for Z only.</x:v>
      </x:c>
      <x:c r="L7" s="37" t="str">
        <x:v>Adjust for M only.</x:v>
      </x:c>
      <x:c r="M7" s="37" t="str">
        <x:v>Adjust for both Z and M.</x:v>
      </x:c>
    </x:row>
    <x:row r="8" ht="64" customHeight="1">
      <x:c r="A8" s="37" t="str">
        <x:v>Round 1</x:v>
      </x:c>
      <x:c r="B8" s="37" t="str">
        <x:v>Student B</x:v>
      </x:c>
      <x:c r="C8" s="37" t="n">
        <x:v>1</x:v>
      </x:c>
      <x:c r="D8" s="37" t="str">
        <x:v>Q007</x:v>
      </x:c>
      <x:c r="E8" s="37" t="n">
        <x:v>1</x:v>
      </x:c>
      <x:c r="F8" s="37" t="str">
        <x:v>Easy</x:v>
      </x:c>
      <x:c r="G8" s="37" t="str">
        <x:v>DAG basics</x:v>
      </x:c>
      <x:c r="H8" s="37" t="str">
        <x:v>MCQ</x:v>
      </x:c>
      <x:c r="I8" s="37" t="str">
        <x:v>In a causal DAG, what does a node usually represent?</x:v>
      </x:c>
      <x:c r="J8" s="37" t="str">
        <x:v>A variable.</x:v>
      </x:c>
      <x:c r="K8" s="37" t="str">
        <x:v>A p-value.</x:v>
      </x:c>
      <x:c r="L8" s="37" t="str">
        <x:v>A regression coefficient.</x:v>
      </x:c>
      <x:c r="M8" s="37" t="str">
        <x:v>A random sample size.</x:v>
      </x:c>
    </x:row>
    <x:row r="9" ht="64" customHeight="1">
      <x:c r="A9" s="37" t="str">
        <x:v>Round 1</x:v>
      </x:c>
      <x:c r="B9" s="37" t="str">
        <x:v>Student B</x:v>
      </x:c>
      <x:c r="C9" s="37" t="n">
        <x:v>2</x:v>
      </x:c>
      <x:c r="D9" s="37" t="str">
        <x:v>Q008</x:v>
      </x:c>
      <x:c r="E9" s="37" t="n">
        <x:v>2</x:v>
      </x:c>
      <x:c r="F9" s="37" t="str">
        <x:v>Easy</x:v>
      </x:c>
      <x:c r="G9" s="37" t="str">
        <x:v>Identification assumptions</x:v>
      </x:c>
      <x:c r="H9" s="37" t="str">
        <x:v>MCQ</x:v>
      </x:c>
      <x:c r="I9" s="37" t="str">
        <x:v>Which statement about causal identifiability assumptions is most accurate?</x:v>
      </x:c>
      <x:c r="J9" s="37" t="str">
        <x:v>They are the same as linearity and normality assumptions.</x:v>
      </x:c>
      <x:c r="K9" s="37" t="str">
        <x:v>They state what would need to be true, in principle, to learn the causal effect from the data-generating setting.</x:v>
      </x:c>
      <x:c r="L9" s="37" t="str">
        <x:v>They can always be verified by a p-value.</x:v>
      </x:c>
      <x:c r="M9" s="37" t="str">
        <x:v>They only matter after fitting a regression model.</x:v>
      </x:c>
    </x:row>
    <x:row r="10" ht="64" customHeight="1">
      <x:c r="A10" s="37" t="str">
        <x:v>Round 1</x:v>
      </x:c>
      <x:c r="B10" s="37" t="str">
        <x:v>Student B</x:v>
      </x:c>
      <x:c r="C10" s="37" t="n">
        <x:v>3</x:v>
      </x:c>
      <x:c r="D10" s="37" t="str">
        <x:v>Q009</x:v>
      </x:c>
      <x:c r="E10" s="37" t="n">
        <x:v>3</x:v>
      </x:c>
      <x:c r="F10" s="37" t="str">
        <x:v>Medium</x:v>
      </x:c>
      <x:c r="G10" s="37" t="str">
        <x:v>Randomization / exchangeability</x:v>
      </x:c>
      <x:c r="H10" s="37" t="str">
        <x:v>True/False</x:v>
      </x:c>
      <x:c r="I10" s="37" t="str">
        <x:v>In a randomized quiz experiment, a difference in mean scores between randomly assigned discussion and no-discussion questions is used as an ATE estimate mainly because randomization makes the groups exchangeable in expectation.</x:v>
      </x:c>
      <x:c r="J10" s="37" t="str">
        <x:v>True</x:v>
      </x:c>
      <x:c r="K10" s="37" t="str">
        <x:v>False</x:v>
      </x:c>
      <x:c r="L10" s="37" t="str"/>
      <x:c r="M10" s="37" t="str"/>
    </x:row>
    <x:row r="11" ht="64" customHeight="1">
      <x:c r="A11" s="37" t="str">
        <x:v>Round 1</x:v>
      </x:c>
      <x:c r="B11" s="37" t="str">
        <x:v>Student B</x:v>
      </x:c>
      <x:c r="C11" s="37" t="n">
        <x:v>4</x:v>
      </x:c>
      <x:c r="D11" s="37" t="str">
        <x:v>Q010</x:v>
      </x:c>
      <x:c r="E11" s="37" t="n">
        <x:v>3</x:v>
      </x:c>
      <x:c r="F11" s="37" t="str">
        <x:v>Medium</x:v>
      </x:c>
      <x:c r="G11" s="37" t="str">
        <x:v>Mediation</x:v>
      </x:c>
      <x:c r="H11" s="37" t="str">
        <x:v>MCQ</x:v>
      </x:c>
      <x:c r="I11" s="37" t="str">
        <x:v>Graph: X -&gt; M -&gt; Y. You want the total effect of X on Y. Should you adjust for M?</x:v>
      </x:c>
      <x:c r="J11" s="37" t="str">
        <x:v>Yes, because every variable in a DAG should be adjusted for.</x:v>
      </x:c>
      <x:c r="K11" s="37" t="str">
        <x:v>No, because M lies on the causal pathway from X to Y.</x:v>
      </x:c>
      <x:c r="L11" s="37" t="str">
        <x:v>Yes, because M is a confounder.</x:v>
      </x:c>
      <x:c r="M11" s="37" t="str">
        <x:v>No, because DAGs never guide adjustment decisions.</x:v>
      </x:c>
    </x:row>
    <x:row r="12" ht="64" customHeight="1">
      <x:c r="A12" s="37" t="str">
        <x:v>Round 1</x:v>
      </x:c>
      <x:c r="B12" s="37" t="str">
        <x:v>Student B</x:v>
      </x:c>
      <x:c r="C12" s="37" t="n">
        <x:v>5</x:v>
      </x:c>
      <x:c r="D12" s="37" t="str">
        <x:v>Q011</x:v>
      </x:c>
      <x:c r="E12" s="37" t="n">
        <x:v>4</x:v>
      </x:c>
      <x:c r="F12" s="37" t="str">
        <x:v>Hard</x:v>
      </x:c>
      <x:c r="G12" s="37" t="str">
        <x:v>Collider / selection bias</x:v>
      </x:c>
      <x:c r="H12" s="37" t="str">
        <x:v>MCQ</x:v>
      </x:c>
      <x:c r="I12" s="37" t="str">
        <x:v>Publication is caused by both methodological quality and interesting results. If you analyze only published studies, what can happen between methodological quality and interesting results?</x:v>
      </x:c>
      <x:c r="J12" s="37" t="str">
        <x:v>They remain exactly independent in the published subset.</x:v>
      </x:c>
      <x:c r="K12" s="37" t="str">
        <x:v>Methodological quality causes interesting results.</x:v>
      </x:c>
      <x:c r="L12" s="37" t="str">
        <x:v>They can become negatively associated because publication is a collider or selection variable.</x:v>
      </x:c>
      <x:c r="M12" s="37" t="str">
        <x:v>The association proves that interesting results reduce quality.</x:v>
      </x:c>
    </x:row>
    <x:row r="13" ht="64" customHeight="1">
      <x:c r="A13" s="37" t="str">
        <x:v>Round 1</x:v>
      </x:c>
      <x:c r="B13" s="37" t="str">
        <x:v>Student B</x:v>
      </x:c>
      <x:c r="C13" s="37" t="n">
        <x:v>6</x:v>
      </x:c>
      <x:c r="D13" s="37" t="str">
        <x:v>Q012</x:v>
      </x:c>
      <x:c r="E13" s="37" t="n">
        <x:v>5</x:v>
      </x:c>
      <x:c r="F13" s="37" t="str">
        <x:v>Hard</x:v>
      </x:c>
      <x:c r="G13" s="37" t="str">
        <x:v>Stratification / standardization</x:v>
      </x:c>
      <x:c r="H13" s="37" t="str">
        <x:v>MCQ</x:v>
      </x:c>
      <x:c r="I13" s="37" t="str">
        <x:v>Naive difference E[Y|X=1]-E[Y|X=0] = 0.10. After stratifying on Z, the stratum-specific differences are 0.20 for Z=0 and -0.04 for Z=1. The target population has P(Z=0)=0.25 and P(Z=1)=0.75. What standardized ATE estimate do you get?</x:v>
      </x:c>
      <x:c r="J13" s="37" t="str">
        <x:v>-0.04</x:v>
      </x:c>
      <x:c r="K13" s="37" t="str">
        <x:v>+0.02</x:v>
      </x:c>
      <x:c r="L13" s="37" t="str">
        <x:v>+0.10</x:v>
      </x:c>
      <x:c r="M13" s="37" t="str">
        <x:v>+0.16</x:v>
      </x:c>
    </x:row>
    <x:row r="14" ht="64" customHeight="1">
      <x:c r="A14" s="37" t="str">
        <x:v>Round 1</x:v>
      </x:c>
      <x:c r="B14" s="37" t="str">
        <x:v>Student C</x:v>
      </x:c>
      <x:c r="C14" s="37" t="n">
        <x:v>1</x:v>
      </x:c>
      <x:c r="D14" s="37" t="str">
        <x:v>Q013</x:v>
      </x:c>
      <x:c r="E14" s="37" t="n">
        <x:v>1</x:v>
      </x:c>
      <x:c r="F14" s="37" t="str">
        <x:v>Easy</x:v>
      </x:c>
      <x:c r="G14" s="37" t="str">
        <x:v>Potential outcomes</x:v>
      </x:c>
      <x:c r="H14" s="37" t="str">
        <x:v>True/False</x:v>
      </x:c>
      <x:c r="I14" s="37" t="str">
        <x:v>A causal effect can be defined as a contrast between potential outcomes.</x:v>
      </x:c>
      <x:c r="J14" s="37" t="str">
        <x:v>True</x:v>
      </x:c>
      <x:c r="K14" s="37" t="str">
        <x:v>False</x:v>
      </x:c>
      <x:c r="L14" s="37" t="str"/>
      <x:c r="M14" s="37" t="str"/>
    </x:row>
    <x:row r="15" ht="64" customHeight="1">
      <x:c r="A15" s="37" t="str">
        <x:v>Round 1</x:v>
      </x:c>
      <x:c r="B15" s="37" t="str">
        <x:v>Student C</x:v>
      </x:c>
      <x:c r="C15" s="37" t="n">
        <x:v>2</x:v>
      </x:c>
      <x:c r="D15" s="37" t="str">
        <x:v>Q014</x:v>
      </x:c>
      <x:c r="E15" s="37" t="n">
        <x:v>2</x:v>
      </x:c>
      <x:c r="F15" s="37" t="str">
        <x:v>Easy</x:v>
      </x:c>
      <x:c r="G15" s="37" t="str">
        <x:v>Positivity</x:v>
      </x:c>
      <x:c r="H15" s="37" t="str">
        <x:v>MCQ</x:v>
      </x:c>
      <x:c r="I15" s="37" t="str">
        <x:v>For a binary treatment X and covariates Z, positivity means:</x:v>
      </x:c>
      <x:c r="J15" s="37" t="str">
        <x:v>Every person has a positive outcome.</x:v>
      </x:c>
      <x:c r="K15" s="37" t="str">
        <x:v>The treatment effect must be positive.</x:v>
      </x:c>
      <x:c r="L15" s="37" t="str">
        <x:v>Only treated people appear in every covariate stratum.</x:v>
      </x:c>
      <x:c r="M15" s="37" t="str">
        <x:v>Both X=1 and X=0 are possible at each relevant level or combination of Z.</x:v>
      </x:c>
    </x:row>
    <x:row r="16" ht="64" customHeight="1">
      <x:c r="A16" s="37" t="str">
        <x:v>Round 1</x:v>
      </x:c>
      <x:c r="B16" s="37" t="str">
        <x:v>Student C</x:v>
      </x:c>
      <x:c r="C16" s="37" t="n">
        <x:v>3</x:v>
      </x:c>
      <x:c r="D16" s="37" t="str">
        <x:v>Q015</x:v>
      </x:c>
      <x:c r="E16" s="37" t="n">
        <x:v>3</x:v>
      </x:c>
      <x:c r="F16" s="37" t="str">
        <x:v>Medium</x:v>
      </x:c>
      <x:c r="G16" s="37" t="str">
        <x:v>Confounding</x:v>
      </x:c>
      <x:c r="H16" s="37" t="str">
        <x:v>MCQ</x:v>
      </x:c>
      <x:c r="I16" s="37" t="str">
        <x:v>In the hospital-delivery DAG, pregnancy risk affects both delivery location and neonatal outcome. What role does pregnancy risk play?</x:v>
      </x:c>
      <x:c r="J16" s="37" t="str">
        <x:v>Mediator.</x:v>
      </x:c>
      <x:c r="K16" s="37" t="str">
        <x:v>Collider.</x:v>
      </x:c>
      <x:c r="L16" s="37" t="str">
        <x:v>Confounder / common cause.</x:v>
      </x:c>
      <x:c r="M16" s="37" t="str">
        <x:v>Outcome only.</x:v>
      </x:c>
    </x:row>
    <x:row r="17" ht="64" customHeight="1">
      <x:c r="A17" s="37" t="str">
        <x:v>Round 1</x:v>
      </x:c>
      <x:c r="B17" s="37" t="str">
        <x:v>Student C</x:v>
      </x:c>
      <x:c r="C17" s="37" t="n">
        <x:v>4</x:v>
      </x:c>
      <x:c r="D17" s="37" t="str">
        <x:v>Q016</x:v>
      </x:c>
      <x:c r="E17" s="37" t="n">
        <x:v>3</x:v>
      </x:c>
      <x:c r="F17" s="37" t="str">
        <x:v>Medium</x:v>
      </x:c>
      <x:c r="G17" s="37" t="str">
        <x:v>DAG basics / SCM intuition</x:v>
      </x:c>
      <x:c r="H17" s="37" t="str">
        <x:v>MCQ</x:v>
      </x:c>
      <x:c r="I17" s="37" t="str">
        <x:v>What does it mean, in this lecture context, to say that DAGs are non-parametric?</x:v>
      </x:c>
      <x:c r="J17" s="37" t="str">
        <x:v>They encode which variables causally 'listen to' which other variables, but not the exact functional forms.</x:v>
      </x:c>
      <x:c r="K17" s="37" t="str">
        <x:v>They require all effects to be linear.</x:v>
      </x:c>
      <x:c r="L17" s="37" t="str">
        <x:v>They can only be used with categorical variables.</x:v>
      </x:c>
      <x:c r="M17" s="37" t="str">
        <x:v>They estimate coefficients without assumptions.</x:v>
      </x:c>
    </x:row>
    <x:row r="18" ht="64" customHeight="1">
      <x:c r="A18" s="37" t="str">
        <x:v>Round 1</x:v>
      </x:c>
      <x:c r="B18" s="37" t="str">
        <x:v>Student C</x:v>
      </x:c>
      <x:c r="C18" s="37" t="n">
        <x:v>5</x:v>
      </x:c>
      <x:c r="D18" s="37" t="str">
        <x:v>Q017</x:v>
      </x:c>
      <x:c r="E18" s="37" t="n">
        <x:v>4</x:v>
      </x:c>
      <x:c r="F18" s="37" t="str">
        <x:v>Hard</x:v>
      </x:c>
      <x:c r="G18" s="37" t="str">
        <x:v>Potential outcomes / ATE</x:v>
      </x:c>
      <x:c r="H18" s="37" t="str">
        <x:v>MCQ</x:v>
      </x:c>
      <x:c r="I18" s="37" t="str">
        <x:v>For eight people, Y^1 = (1,0,1,1,0,1,1,0) and Y^0 = (1,0,0,1,1,0,0,0). What is the ATE?</x:v>
      </x:c>
      <x:c r="J18" s="37" t="str">
        <x:v>-0.25</x:v>
      </x:c>
      <x:c r="K18" s="37" t="str">
        <x:v>0.00</x:v>
      </x:c>
      <x:c r="L18" s="37" t="str">
        <x:v>+0.25</x:v>
      </x:c>
      <x:c r="M18" s="37" t="str">
        <x:v>+0.50</x:v>
      </x:c>
    </x:row>
    <x:row r="19" ht="64" customHeight="1">
      <x:c r="A19" s="37" t="str">
        <x:v>Round 1</x:v>
      </x:c>
      <x:c r="B19" s="37" t="str">
        <x:v>Student C</x:v>
      </x:c>
      <x:c r="C19" s="37" t="n">
        <x:v>6</x:v>
      </x:c>
      <x:c r="D19" s="37" t="str">
        <x:v>Q018</x:v>
      </x:c>
      <x:c r="E19" s="37" t="n">
        <x:v>5</x:v>
      </x:c>
      <x:c r="F19" s="37" t="str">
        <x:v>Hard</x:v>
      </x:c>
      <x:c r="G19" s="37" t="str">
        <x:v>Collider / d-separation</x:v>
      </x:c>
      <x:c r="H19" s="37" t="str">
        <x:v>MCQ</x:v>
      </x:c>
      <x:c r="I19" s="37" t="str">
        <x:v>Graph: A -&gt; C &lt;- B and C -&gt; D. Which conditioning choice opens a path between A and B?</x:v>
      </x:c>
      <x:c r="J19" s="37" t="str">
        <x:v>Conditioning on neither C nor D.</x:v>
      </x:c>
      <x:c r="K19" s="37" t="str">
        <x:v>Conditioning on C only.</x:v>
      </x:c>
      <x:c r="L19" s="37" t="str">
        <x:v>Conditioning on D only.</x:v>
      </x:c>
      <x:c r="M19" s="37" t="str">
        <x:v>Conditioning on either C or D.</x:v>
      </x:c>
    </x:row>
    <x:row r="20" ht="64" customHeight="1">
      <x:c r="A20" s="37" t="str">
        <x:v>Round 2</x:v>
      </x:c>
      <x:c r="B20" s="37" t="str">
        <x:v>Student A</x:v>
      </x:c>
      <x:c r="C20" s="37" t="n">
        <x:v>1</x:v>
      </x:c>
      <x:c r="D20" s="37" t="str">
        <x:v>Q019</x:v>
      </x:c>
      <x:c r="E20" s="37" t="n">
        <x:v>1</x:v>
      </x:c>
      <x:c r="F20" s="37" t="str">
        <x:v>Easy</x:v>
      </x:c>
      <x:c r="G20" s="37" t="str">
        <x:v>Randomization</x:v>
      </x:c>
      <x:c r="H20" s="37" t="str">
        <x:v>MCQ</x:v>
      </x:c>
      <x:c r="I20" s="37" t="str">
        <x:v>Random assignment is valuable for causal inference mainly because it:</x:v>
      </x:c>
      <x:c r="J20" s="37" t="str">
        <x:v>Makes all outcomes identical.</x:v>
      </x:c>
      <x:c r="K20" s="37" t="str">
        <x:v>Eliminates the need to define an outcome.</x:v>
      </x:c>
      <x:c r="L20" s="37" t="str">
        <x:v>Makes treatment independent of potential outcomes in expectation.</x:v>
      </x:c>
      <x:c r="M20" s="37" t="str">
        <x:v>Guarantees no measurement error.</x:v>
      </x:c>
    </x:row>
    <x:row r="21" ht="64" customHeight="1">
      <x:c r="A21" s="37" t="str">
        <x:v>Round 2</x:v>
      </x:c>
      <x:c r="B21" s="37" t="str">
        <x:v>Student A</x:v>
      </x:c>
      <x:c r="C21" s="37" t="n">
        <x:v>2</x:v>
      </x:c>
      <x:c r="D21" s="37" t="str">
        <x:v>Q020</x:v>
      </x:c>
      <x:c r="E21" s="37" t="n">
        <x:v>2</x:v>
      </x:c>
      <x:c r="F21" s="37" t="str">
        <x:v>Easy</x:v>
      </x:c>
      <x:c r="G21" s="37" t="str">
        <x:v>Potential outcomes</x:v>
      </x:c>
      <x:c r="H21" s="37" t="str">
        <x:v>MCQ</x:v>
      </x:c>
      <x:c r="I21" s="37" t="str">
        <x:v>A quiz question is randomly selected for peer discussion (X=1) and is answered correctly (Y=1). Which potential outcome is observed for that question-student unit?</x:v>
      </x:c>
      <x:c r="J21" s="37" t="str">
        <x:v>Y^1 = 1.</x:v>
      </x:c>
      <x:c r="K21" s="37" t="str">
        <x:v>Y^0 = 1.</x:v>
      </x:c>
      <x:c r="L21" s="37" t="str">
        <x:v>Both Y^1 and Y^0.</x:v>
      </x:c>
      <x:c r="M21" s="37" t="str">
        <x:v>Neither potential outcome.</x:v>
      </x:c>
    </x:row>
    <x:row r="22" ht="64" customHeight="1">
      <x:c r="A22" s="37" t="str">
        <x:v>Round 2</x:v>
      </x:c>
      <x:c r="B22" s="37" t="str">
        <x:v>Student A</x:v>
      </x:c>
      <x:c r="C22" s="37" t="n">
        <x:v>3</x:v>
      </x:c>
      <x:c r="D22" s="37" t="str">
        <x:v>Q021</x:v>
      </x:c>
      <x:c r="E22" s="37" t="n">
        <x:v>3</x:v>
      </x:c>
      <x:c r="F22" s="37" t="str">
        <x:v>Medium</x:v>
      </x:c>
      <x:c r="G22" s="37" t="str">
        <x:v>Potential outcomes / ITE</x:v>
      </x:c>
      <x:c r="H22" s="37" t="str">
        <x:v>MCQ</x:v>
      </x:c>
      <x:c r="I22" s="37" t="str">
        <x:v>For three units, Y^1=(1,1,0) and Y^0=(0,1,0). Which ITE vector and ATE are correct?</x:v>
      </x:c>
      <x:c r="J22" s="37" t="str">
        <x:v>ITE=(1,0,0), ATE=1/3.</x:v>
      </x:c>
      <x:c r="K22" s="37" t="str">
        <x:v>ITE=(0,1,0), ATE=1/3.</x:v>
      </x:c>
      <x:c r="L22" s="37" t="str">
        <x:v>ITE=(1,1,0), ATE=2/3.</x:v>
      </x:c>
      <x:c r="M22" s="37" t="str">
        <x:v>ITE=(0,0,0), ATE=0.</x:v>
      </x:c>
    </x:row>
    <x:row r="23" ht="64" customHeight="1">
      <x:c r="A23" s="37" t="str">
        <x:v>Round 2</x:v>
      </x:c>
      <x:c r="B23" s="37" t="str">
        <x:v>Student A</x:v>
      </x:c>
      <x:c r="C23" s="37" t="n">
        <x:v>4</x:v>
      </x:c>
      <x:c r="D23" s="37" t="str">
        <x:v>Q022</x:v>
      </x:c>
      <x:c r="E23" s="37" t="n">
        <x:v>3</x:v>
      </x:c>
      <x:c r="F23" s="37" t="str">
        <x:v>Medium</x:v>
      </x:c>
      <x:c r="G23" s="37" t="str">
        <x:v>Mediation</x:v>
      </x:c>
      <x:c r="H23" s="37" t="str">
        <x:v>MCQ</x:v>
      </x:c>
      <x:c r="I23" s="37" t="str">
        <x:v>In the hernia example, hospital recovery location affects bed rest, and bed rest affects walking after one week. What is bed rest in the DAG?</x:v>
      </x:c>
      <x:c r="J23" s="37" t="str">
        <x:v>Confounder.</x:v>
      </x:c>
      <x:c r="K23" s="37" t="str">
        <x:v>Mediator.</x:v>
      </x:c>
      <x:c r="L23" s="37" t="str">
        <x:v>Collider.</x:v>
      </x:c>
      <x:c r="M23" s="37" t="str">
        <x:v>Instrument.</x:v>
      </x:c>
    </x:row>
    <x:row r="24" ht="64" customHeight="1">
      <x:c r="A24" s="37" t="str">
        <x:v>Round 2</x:v>
      </x:c>
      <x:c r="B24" s="37" t="str">
        <x:v>Student A</x:v>
      </x:c>
      <x:c r="C24" s="37" t="n">
        <x:v>5</x:v>
      </x:c>
      <x:c r="D24" s="37" t="str">
        <x:v>Q023</x:v>
      </x:c>
      <x:c r="E24" s="37" t="n">
        <x:v>4</x:v>
      </x:c>
      <x:c r="F24" s="37" t="str">
        <x:v>Hard</x:v>
      </x:c>
      <x:c r="G24" s="37" t="str">
        <x:v>Confounding / Simpson's paradox</x:v>
      </x:c>
      <x:c r="H24" s="37" t="str">
        <x:v>MCQ</x:v>
      </x:c>
      <x:c r="I24" s="37" t="str">
        <x:v>Delivery table: home has 648/720 good outcomes among low-risk and 40/80 among high-risk; hospital has 19/20 low-risk and 144/180 high-risk. What is the marginal hospital-minus-home difference in good outcome?</x:v>
      </x:c>
      <x:c r="J24" s="37" t="str">
        <x:v>-4.5 percentage points.</x:v>
      </x:c>
      <x:c r="K24" s="37" t="str">
        <x:v>+10 percentage points.</x:v>
      </x:c>
      <x:c r="L24" s="37" t="str">
        <x:v>+50 percentage points.</x:v>
      </x:c>
      <x:c r="M24" s="37" t="str">
        <x:v>0 percentage points.</x:v>
      </x:c>
    </x:row>
    <x:row r="25" ht="64" customHeight="1">
      <x:c r="A25" s="37" t="str">
        <x:v>Round 2</x:v>
      </x:c>
      <x:c r="B25" s="37" t="str">
        <x:v>Student A</x:v>
      </x:c>
      <x:c r="C25" s="37" t="n">
        <x:v>6</x:v>
      </x:c>
      <x:c r="D25" s="37" t="str">
        <x:v>Q024</x:v>
      </x:c>
      <x:c r="E25" s="37" t="n">
        <x:v>5</x:v>
      </x:c>
      <x:c r="F25" s="37" t="str">
        <x:v>Hard</x:v>
      </x:c>
      <x:c r="G25" s="37" t="str">
        <x:v>Confounding and mediation</x:v>
      </x:c>
      <x:c r="H25" s="37" t="str">
        <x:v>MCQ</x:v>
      </x:c>
      <x:c r="I25" s="37" t="str">
        <x:v>Graph: Z -&gt; X, Z -&gt; Y, X -&gt; M, M -&gt; Y. You adjust for M but not Z while trying to estimate the total effect of X on Y. What is the main problem?</x:v>
      </x:c>
      <x:c r="J25" s="37" t="str">
        <x:v>You block part of the causal effect and leave the back-door path through Z open.</x:v>
      </x:c>
      <x:c r="K25" s="37" t="str">
        <x:v>You perfectly estimate the total effect.</x:v>
      </x:c>
      <x:c r="L25" s="37" t="str">
        <x:v>You create randomization.</x:v>
      </x:c>
      <x:c r="M25" s="37" t="str">
        <x:v>You remove all missing data.</x:v>
      </x:c>
    </x:row>
    <x:row r="26" ht="64" customHeight="1">
      <x:c r="A26" s="37" t="str">
        <x:v>Round 2</x:v>
      </x:c>
      <x:c r="B26" s="37" t="str">
        <x:v>Student B</x:v>
      </x:c>
      <x:c r="C26" s="37" t="n">
        <x:v>1</x:v>
      </x:c>
      <x:c r="D26" s="37" t="str">
        <x:v>Q025</x:v>
      </x:c>
      <x:c r="E26" s="37" t="n">
        <x:v>1</x:v>
      </x:c>
      <x:c r="F26" s="37" t="str">
        <x:v>Easy</x:v>
      </x:c>
      <x:c r="G26" s="37" t="str">
        <x:v>Causal frameworks</x:v>
      </x:c>
      <x:c r="H26" s="37" t="str">
        <x:v>MCQ</x:v>
      </x:c>
      <x:c r="I26" s="37" t="str">
        <x:v>Which pair of causal inference frameworks are being connected across Day 1 and Day 2?</x:v>
      </x:c>
      <x:c r="J26" s="37" t="str">
        <x:v>Potential outcomes and causal DAGs / structural causal models.</x:v>
      </x:c>
      <x:c r="K26" s="37" t="str">
        <x:v>k-means clustering and random forests.</x:v>
      </x:c>
      <x:c r="L26" s="37" t="str">
        <x:v>Linear regression and logistic regression only.</x:v>
      </x:c>
      <x:c r="M26" s="37" t="str">
        <x:v>Cross-validation and bootstrapping.</x:v>
      </x:c>
    </x:row>
    <x:row r="27" ht="64" customHeight="1">
      <x:c r="A27" s="37" t="str">
        <x:v>Round 2</x:v>
      </x:c>
      <x:c r="B27" s="37" t="str">
        <x:v>Student B</x:v>
      </x:c>
      <x:c r="C27" s="37" t="n">
        <x:v>2</x:v>
      </x:c>
      <x:c r="D27" s="37" t="str">
        <x:v>Q026</x:v>
      </x:c>
      <x:c r="E27" s="37" t="n">
        <x:v>2</x:v>
      </x:c>
      <x:c r="F27" s="37" t="str">
        <x:v>Easy</x:v>
      </x:c>
      <x:c r="G27" s="37" t="str">
        <x:v>Consistency</x:v>
      </x:c>
      <x:c r="H27" s="37" t="str">
        <x:v>MCQ</x:v>
      </x:c>
      <x:c r="I27" s="37" t="str">
        <x:v>Which example most directly illustrates a possible consistency problem?</x:v>
      </x:c>
      <x:c r="J27" s="37" t="str">
        <x:v>Treatment is randomly assigned with a coin flip.</x:v>
      </x:c>
      <x:c r="K27" s="37" t="str">
        <x:v>The treatment 'after-school class' includes online tutoring, group homework club, and private coaching, each possibly with different effects.</x:v>
      </x:c>
      <x:c r="L27" s="37" t="str">
        <x:v>The outcome is measured on a binary scale.</x:v>
      </x:c>
      <x:c r="M27" s="37" t="str">
        <x:v>There are exactly two treatment groups.</x:v>
      </x:c>
    </x:row>
    <x:row r="28" ht="64" customHeight="1">
      <x:c r="A28" s="37" t="str">
        <x:v>Round 2</x:v>
      </x:c>
      <x:c r="B28" s="37" t="str">
        <x:v>Student B</x:v>
      </x:c>
      <x:c r="C28" s="37" t="n">
        <x:v>3</x:v>
      </x:c>
      <x:c r="D28" s="37" t="str">
        <x:v>Q027</x:v>
      </x:c>
      <x:c r="E28" s="37" t="n">
        <x:v>3</x:v>
      </x:c>
      <x:c r="F28" s="37" t="str">
        <x:v>Medium</x:v>
      </x:c>
      <x:c r="G28" s="37" t="str">
        <x:v>Conditional exchangeability</x:v>
      </x:c>
      <x:c r="H28" s="37" t="str">
        <x:v>MCQ</x:v>
      </x:c>
      <x:c r="I28" s="37" t="str">
        <x:v>Which statement best expresses conditional exchangeability?</x:v>
      </x:c>
      <x:c r="J28" s="37" t="str">
        <x:v>Y^x is independent of X given Z.</x:v>
      </x:c>
      <x:c r="K28" s="37" t="str">
        <x:v>Y is independent of Z given X in every dataset.</x:v>
      </x:c>
      <x:c r="L28" s="37" t="str">
        <x:v>X is independent of Z marginally.</x:v>
      </x:c>
      <x:c r="M28" s="37" t="str">
        <x:v>Y^1 must equal Y^0 for every unit.</x:v>
      </x:c>
    </x:row>
    <x:row r="29" ht="64" customHeight="1">
      <x:c r="A29" s="37" t="str">
        <x:v>Round 2</x:v>
      </x:c>
      <x:c r="B29" s="37" t="str">
        <x:v>Student B</x:v>
      </x:c>
      <x:c r="C29" s="37" t="n">
        <x:v>4</x:v>
      </x:c>
      <x:c r="D29" s="37" t="str">
        <x:v>Q028</x:v>
      </x:c>
      <x:c r="E29" s="37" t="n">
        <x:v>3</x:v>
      </x:c>
      <x:c r="F29" s="37" t="str">
        <x:v>Medium</x:v>
      </x:c>
      <x:c r="G29" s="37" t="str">
        <x:v>Back-door paths</x:v>
      </x:c>
      <x:c r="H29" s="37" t="str">
        <x:v>MCQ</x:v>
      </x:c>
      <x:c r="I29" s="37" t="str">
        <x:v>In the DAG Z -&gt; X, Z -&gt; Y, X -&gt; Y, which path is a back-door path from X to Y?</x:v>
      </x:c>
      <x:c r="J29" s="37" t="str">
        <x:v>X -&gt; Y.</x:v>
      </x:c>
      <x:c r="K29" s="37" t="str">
        <x:v>X &lt;- Z -&gt; Y.</x:v>
      </x:c>
      <x:c r="L29" s="37" t="str">
        <x:v>Z -&gt; X.</x:v>
      </x:c>
      <x:c r="M29" s="37" t="str">
        <x:v>Y &lt;- X.</x:v>
      </x:c>
    </x:row>
    <x:row r="30" ht="64" customHeight="1">
      <x:c r="A30" s="37" t="str">
        <x:v>Round 2</x:v>
      </x:c>
      <x:c r="B30" s="37" t="str">
        <x:v>Student B</x:v>
      </x:c>
      <x:c r="C30" s="37" t="n">
        <x:v>5</x:v>
      </x:c>
      <x:c r="D30" s="37" t="str">
        <x:v>Q029</x:v>
      </x:c>
      <x:c r="E30" s="37" t="n">
        <x:v>4</x:v>
      </x:c>
      <x:c r="F30" s="37" t="str">
        <x:v>Hard</x:v>
      </x:c>
      <x:c r="G30" s="37" t="str">
        <x:v>Collider / bad controls</x:v>
      </x:c>
      <x:c r="H30" s="37" t="str">
        <x:v>MCQ</x:v>
      </x:c>
      <x:c r="I30" s="37" t="str">
        <x:v>Which variable should generally not be conditioned on when estimating a total causal effect, because doing so can induce bias?</x:v>
      </x:c>
      <x:c r="J30" s="37" t="str">
        <x:v>A pre-treatment common cause of treatment and outcome.</x:v>
      </x:c>
      <x:c r="K30" s="37" t="str">
        <x:v>A randomized treatment indicator.</x:v>
      </x:c>
      <x:c r="L30" s="37" t="str">
        <x:v>A collider or selection variable caused by both treatment and outcome.</x:v>
      </x:c>
      <x:c r="M30" s="37" t="str">
        <x:v>A measured outcome.</x:v>
      </x:c>
    </x:row>
    <x:row r="31" ht="64" customHeight="1">
      <x:c r="A31" s="37" t="str">
        <x:v>Round 2</x:v>
      </x:c>
      <x:c r="B31" s="37" t="str">
        <x:v>Student B</x:v>
      </x:c>
      <x:c r="C31" s="37" t="n">
        <x:v>6</x:v>
      </x:c>
      <x:c r="D31" s="37" t="str">
        <x:v>Q030</x:v>
      </x:c>
      <x:c r="E31" s="37" t="n">
        <x:v>5</x:v>
      </x:c>
      <x:c r="F31" s="37" t="str">
        <x:v>Hard</x:v>
      </x:c>
      <x:c r="G31" s="37" t="str">
        <x:v>Positivity / overlap</x:v>
      </x:c>
      <x:c r="H31" s="37" t="str">
        <x:v>MCQ</x:v>
      </x:c>
      <x:c r="I31" s="37" t="str">
        <x:v>Counts by Z and treatment: Z=0 has X=0: n=0, X=1: n=20; Z=1 has X=0: n=15, X=1: n=25; Z=2 has X=0: n=30, X=1: n=0. For which Z level is positivity satisfied?</x:v>
      </x:c>
      <x:c r="J31" s="37" t="str">
        <x:v>Only Z=0.</x:v>
      </x:c>
      <x:c r="K31" s="37" t="str">
        <x:v>Only Z=1.</x:v>
      </x:c>
      <x:c r="L31" s="37" t="str">
        <x:v>Only Z=2.</x:v>
      </x:c>
      <x:c r="M31" s="37" t="str">
        <x:v>All Z levels.</x:v>
      </x:c>
    </x:row>
    <x:row r="32" ht="64" customHeight="1">
      <x:c r="A32" s="37" t="str">
        <x:v>Round 2</x:v>
      </x:c>
      <x:c r="B32" s="37" t="str">
        <x:v>Student C</x:v>
      </x:c>
      <x:c r="C32" s="37" t="n">
        <x:v>1</x:v>
      </x:c>
      <x:c r="D32" s="37" t="str">
        <x:v>Q031</x:v>
      </x:c>
      <x:c r="E32" s="37" t="n">
        <x:v>1</x:v>
      </x:c>
      <x:c r="F32" s="37" t="str">
        <x:v>Easy</x:v>
      </x:c>
      <x:c r="G32" s="37" t="str">
        <x:v>DAG basics</x:v>
      </x:c>
      <x:c r="H32" s="37" t="str">
        <x:v>MCQ</x:v>
      </x:c>
      <x:c r="I32" s="37" t="str">
        <x:v>A directed edge X -&gt; Y in a causal DAG means:</x:v>
      </x:c>
      <x:c r="J32" s="37" t="str">
        <x:v>X may be a direct cause of Y in the assumed causal model.</x:v>
      </x:c>
      <x:c r="K32" s="37" t="str">
        <x:v>Y must cause X.</x:v>
      </x:c>
      <x:c r="L32" s="37" t="str">
        <x:v>X and Y are necessarily independent.</x:v>
      </x:c>
      <x:c r="M32" s="37" t="str">
        <x:v>The effect is necessarily linear.</x:v>
      </x:c>
    </x:row>
    <x:row r="33" ht="64" customHeight="1">
      <x:c r="A33" s="37" t="str">
        <x:v>Round 2</x:v>
      </x:c>
      <x:c r="B33" s="37" t="str">
        <x:v>Student C</x:v>
      </x:c>
      <x:c r="C33" s="37" t="n">
        <x:v>2</x:v>
      </x:c>
      <x:c r="D33" s="37" t="str">
        <x:v>Q032</x:v>
      </x:c>
      <x:c r="E33" s="37" t="n">
        <x:v>2</x:v>
      </x:c>
      <x:c r="F33" s="37" t="str">
        <x:v>Easy</x:v>
      </x:c>
      <x:c r="G33" s="37" t="str">
        <x:v>Observing vs intervening</x:v>
      </x:c>
      <x:c r="H33" s="37" t="str">
        <x:v>True/False</x:v>
      </x:c>
      <x:c r="I33" s="37" t="str">
        <x:v>Observing that E[Y | X=1] differs from E[Y | X=0] generally proves that X causes Y.</x:v>
      </x:c>
      <x:c r="J33" s="37" t="str">
        <x:v>True</x:v>
      </x:c>
      <x:c r="K33" s="37" t="str">
        <x:v>False</x:v>
      </x:c>
      <x:c r="L33" s="37" t="str"/>
      <x:c r="M33" s="37" t="str"/>
    </x:row>
    <x:row r="34" ht="64" customHeight="1">
      <x:c r="A34" s="37" t="str">
        <x:v>Round 2</x:v>
      </x:c>
      <x:c r="B34" s="37" t="str">
        <x:v>Student C</x:v>
      </x:c>
      <x:c r="C34" s="37" t="n">
        <x:v>3</x:v>
      </x:c>
      <x:c r="D34" s="37" t="str">
        <x:v>Q033</x:v>
      </x:c>
      <x:c r="E34" s="37" t="n">
        <x:v>3</x:v>
      </x:c>
      <x:c r="F34" s="37" t="str">
        <x:v>Medium</x:v>
      </x:c>
      <x:c r="G34" s="37" t="str">
        <x:v>Observed association</x:v>
      </x:c>
      <x:c r="H34" s="37" t="str">
        <x:v>MCQ</x:v>
      </x:c>
      <x:c r="I34" s="37" t="str">
        <x:v>In an observational dataset, the treated mean outcome is 0.40 and the untreated mean outcome is 0.55. What is the naive treated-minus-untreated difference?</x:v>
      </x:c>
      <x:c r="J34" s="37" t="str">
        <x:v>-0.15</x:v>
      </x:c>
      <x:c r="K34" s="37" t="str">
        <x:v>+0.15</x:v>
      </x:c>
      <x:c r="L34" s="37" t="str">
        <x:v>0.40</x:v>
      </x:c>
      <x:c r="M34" s="37" t="str">
        <x:v>0.95</x:v>
      </x:c>
    </x:row>
    <x:row r="35" ht="64" customHeight="1">
      <x:c r="A35" s="37" t="str">
        <x:v>Round 2</x:v>
      </x:c>
      <x:c r="B35" s="37" t="str">
        <x:v>Student C</x:v>
      </x:c>
      <x:c r="C35" s="37" t="n">
        <x:v>4</x:v>
      </x:c>
      <x:c r="D35" s="37" t="str">
        <x:v>Q034</x:v>
      </x:c>
      <x:c r="E35" s="37" t="n">
        <x:v>3</x:v>
      </x:c>
      <x:c r="F35" s="37" t="str">
        <x:v>Medium</x:v>
      </x:c>
      <x:c r="G35" s="37" t="str">
        <x:v>Matching</x:v>
      </x:c>
      <x:c r="H35" s="37" t="str">
        <x:v>MCQ</x:v>
      </x:c>
      <x:c r="I35" s="37" t="str">
        <x:v>Matching is intended to:</x:v>
      </x:c>
      <x:c r="J35" s="37" t="str">
        <x:v>Find treated and untreated units with similar covariate values or propensity scores, then compare their outcomes.</x:v>
      </x:c>
      <x:c r="K35" s="37" t="str">
        <x:v>Make the sample size exactly zero.</x:v>
      </x:c>
      <x:c r="L35" s="37" t="str">
        <x:v>Condition on colliders by design.</x:v>
      </x:c>
      <x:c r="M35" s="37" t="str">
        <x:v>Replace causal assumptions with p-values.</x:v>
      </x:c>
    </x:row>
    <x:row r="36" ht="64" customHeight="1">
      <x:c r="A36" s="37" t="str">
        <x:v>Round 2</x:v>
      </x:c>
      <x:c r="B36" s="37" t="str">
        <x:v>Student C</x:v>
      </x:c>
      <x:c r="C36" s="37" t="n">
        <x:v>5</x:v>
      </x:c>
      <x:c r="D36" s="37" t="str">
        <x:v>Q035</x:v>
      </x:c>
      <x:c r="E36" s="37" t="n">
        <x:v>4</x:v>
      </x:c>
      <x:c r="F36" s="37" t="str">
        <x:v>Hard</x:v>
      </x:c>
      <x:c r="G36" s="37" t="str">
        <x:v>Causal language / study design</x:v>
      </x:c>
      <x:c r="H36" s="37" t="str">
        <x:v>MCQ</x:v>
      </x:c>
      <x:c r="I36" s="37" t="str">
        <x:v>Why is it misleading to simply say 'RCTs are causal, observational studies are never causal'?</x:v>
      </x:c>
      <x:c r="J36" s="37" t="str">
        <x:v>Because observational data always prove causality.</x:v>
      </x:c>
      <x:c r="K36" s="37" t="str">
        <x:v>Because the research goal may be causal in either case; the issue is whether the design, assumptions, and analysis justify the causal inference.</x:v>
      </x:c>
      <x:c r="L36" s="37" t="str">
        <x:v>Because RCTs never need assumptions.</x:v>
      </x:c>
      <x:c r="M36" s="37" t="str">
        <x:v>Because causal language is unrelated to research questions.</x:v>
      </x:c>
    </x:row>
    <x:row r="37" ht="64" customHeight="1">
      <x:c r="A37" s="37" t="str">
        <x:v>Round 2</x:v>
      </x:c>
      <x:c r="B37" s="37" t="str">
        <x:v>Student C</x:v>
      </x:c>
      <x:c r="C37" s="37" t="n">
        <x:v>6</x:v>
      </x:c>
      <x:c r="D37" s="37" t="str">
        <x:v>Q036</x:v>
      </x:c>
      <x:c r="E37" s="37" t="n">
        <x:v>5</x:v>
      </x:c>
      <x:c r="F37" s="37" t="str">
        <x:v>Hard</x:v>
      </x:c>
      <x:c r="G37" s="37" t="str">
        <x:v>Back-door adjustment</x:v>
      </x:c>
      <x:c r="H37" s="37" t="str">
        <x:v>MCQ</x:v>
      </x:c>
      <x:c r="I37" s="37" t="str">
        <x:v>Graph: X &lt;- A -&gt; B -&gt; Y, X &lt;- C -&gt; Y, and X -&gt; Y. Which adjustment set blocks the listed back-door paths while preserving the direct causal path X -&gt; Y?</x:v>
      </x:c>
      <x:c r="J37" s="37" t="str">
        <x:v>{A}</x:v>
      </x:c>
      <x:c r="K37" s="37" t="str">
        <x:v>{C}</x:v>
      </x:c>
      <x:c r="L37" s="37" t="str">
        <x:v>{A, C}</x:v>
      </x:c>
      <x:c r="M37" s="37" t="str">
        <x:v>{A, B}</x:v>
      </x:c>
    </x:row>
  </x:sheetData>
  <x:conditionalFormatting sqref="E2:E3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615a5a0bd246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24" hidden="0" customWidth="1"/>
    <x:col min="5" max="5" width="72" hidden="0" customWidth="1"/>
    <x:col min="6" max="6" width="74" hidden="0" customWidth="1"/>
    <x:col min="7" max="7" width="34" hidden="0" customWidth="1"/>
  </x:cols>
  <x:sheetData>
    <x:row r="1">
      <x:c r="A1" s="36" t="str">
        <x:v>ID</x:v>
      </x:c>
      <x:c r="B1" s="36" t="str">
        <x:v>Difficulty</x:v>
      </x:c>
      <x:c r="C1" s="36" t="str">
        <x:v>Band</x:v>
      </x:c>
      <x:c r="D1" s="36" t="str">
        <x:v>Topic</x:v>
      </x:c>
      <x:c r="E1" s="36" t="str">
        <x:v>Open prompt</x:v>
      </x:c>
      <x:c r="F1" s="36" t="str">
        <x:v>Strong answer includes / rubric</x:v>
      </x:c>
      <x:c r="G1" s="36" t="str">
        <x:v>Suggested use</x:v>
      </x:c>
    </x:row>
    <x:row r="2" ht="76" customHeight="1">
      <x:c r="A2" s="37" t="str">
        <x:v>OQ01</x:v>
      </x:c>
      <x:c r="B2" s="37" t="n">
        <x:v>2</x:v>
      </x:c>
      <x:c r="C2" s="37" t="str">
        <x:v>Easy</x:v>
      </x:c>
      <x:c r="D2" s="37" t="str">
        <x:v>Observing vs intervening</x:v>
      </x:c>
      <x:c r="E2" s="37" t="str">
        <x:v>In your own words, explain why observing that discussed questions have lower scores does not by itself show that peer discussion is harmful.</x:v>
      </x:c>
      <x:c r="F2" s="37" t="str">
        <x:v>Mentions self-selection; hard questions are more likely to be discussed; observed discussed and not-discussed questions are not exchangeable; need randomization or adjustment.</x:v>
      </x:c>
      <x:c r="G2" s="37" t="str">
        <x:v>Good immediate debrief after Round 1.</x:v>
      </x:c>
    </x:row>
    <x:row r="3" ht="76" customHeight="1">
      <x:c r="A3" s="37" t="str">
        <x:v>OQ02</x:v>
      </x:c>
      <x:c r="B3" s="37" t="n">
        <x:v>2</x:v>
      </x:c>
      <x:c r="C3" s="37" t="str">
        <x:v>Easy</x:v>
      </x:c>
      <x:c r="D3" s="37" t="str">
        <x:v>Confounding in the classroom experiment</x:v>
      </x:c>
      <x:c r="E3" s="37" t="str">
        <x:v>Name at least two variables that could confound the relationship between 'question discussed' and 'answered correctly' in Round 1.</x:v>
      </x:c>
      <x:c r="F3" s="37" t="str">
        <x:v>Question difficulty is central; also prior knowledge, confidence, time spent, ambiguity, student ability, or interest. Each named variable should plausibly affect both choice to discuss and correctness.</x:v>
      </x:c>
      <x:c r="G3" s="37" t="str">
        <x:v>Can be asked orally.</x:v>
      </x:c>
    </x:row>
    <x:row r="4" ht="76" customHeight="1">
      <x:c r="A4" s="37" t="str">
        <x:v>OQ03</x:v>
      </x:c>
      <x:c r="B4" s="37" t="n">
        <x:v>3</x:v>
      </x:c>
      <x:c r="C4" s="37" t="str">
        <x:v>Medium</x:v>
      </x:c>
      <x:c r="D4" s="37" t="str">
        <x:v>DAG construction</x:v>
      </x:c>
      <x:c r="E4" s="37" t="str">
        <x:v>Draw a simple DAG for Round 1 self-selected discussion. Include question difficulty, discussion, and correctness. Explain the expected direction of the naive bias.</x:v>
      </x:c>
      <x:c r="F4" s="37" t="str">
        <x:v>Includes Difficulty -&gt; Discussion and Difficulty -&gt; Correctness; may include Discussion -&gt; Correctness. Explains that discussed questions can look worse because difficulty lowers correctness and raises discussion probability.</x:v>
      </x:c>
      <x:c r="G4" s="37" t="str">
        <x:v>Great link to your main experiment.</x:v>
      </x:c>
    </x:row>
    <x:row r="5" ht="76" customHeight="1">
      <x:c r="A5" s="37" t="str">
        <x:v>OQ04</x:v>
      </x:c>
      <x:c r="B5" s="37" t="n">
        <x:v>3</x:v>
      </x:c>
      <x:c r="C5" s="37" t="str">
        <x:v>Medium</x:v>
      </x:c>
      <x:c r="D5" s="37" t="str">
        <x:v>Randomization and DAGs</x:v>
      </x:c>
      <x:c r="E5" s="37" t="str">
        <x:v>Draw the analogous DAG for Round 2 when questions are randomly selected for discussion. What arrow or back-door path is removed by randomization?</x:v>
      </x:c>
      <x:c r="F5" s="37" t="str">
        <x:v>Random assignment node causes Discussion; Difficulty no longer causes Discussion if randomization is implemented correctly; the back-door path Discussion &lt;- Difficulty -&gt; Correctness is blocked/absent by design.</x:v>
      </x:c>
      <x:c r="G5" s="37" t="str">
        <x:v>Round 2 setup check.</x:v>
      </x:c>
    </x:row>
    <x:row r="6" ht="76" customHeight="1">
      <x:c r="A6" s="37" t="str">
        <x:v>OQ05</x:v>
      </x:c>
      <x:c r="B6" s="37" t="n">
        <x:v>4</x:v>
      </x:c>
      <x:c r="C6" s="37" t="str">
        <x:v>Hard</x:v>
      </x:c>
      <x:c r="D6" s="37" t="str">
        <x:v>Effect heterogeneity</x:v>
      </x:c>
      <x:c r="E6" s="37" t="str">
        <x:v>Suppose peer discussion helps on easy questions, helps a little on medium questions, and barely helps on very hard questions. How could that affect the Round 1 and Round 2 estimates?</x:v>
      </x:c>
      <x:c r="F6" s="37" t="str">
        <x:v>Mentions treatment-effect heterogeneity by difficulty; Round 1 may overrepresent hard questions among discussed questions; Round 2 averages over the randomized mix of selected questions; estimand depends on question distribution.</x:v>
      </x:c>
      <x:c r="G6" s="37" t="str">
        <x:v>Hard discussion after results.</x:v>
      </x:c>
    </x:row>
    <x:row r="7" ht="76" customHeight="1">
      <x:c r="A7" s="37" t="str">
        <x:v>OQ06</x:v>
      </x:c>
      <x:c r="B7" s="37" t="n">
        <x:v>4</x:v>
      </x:c>
      <x:c r="C7" s="37" t="str">
        <x:v>Hard</x:v>
      </x:c>
      <x:c r="D7" s="37" t="str">
        <x:v>SUTVA / interference</x:v>
      </x:c>
      <x:c r="E7" s="37" t="str">
        <x:v>Where might SUTVA or no interference fail in this classroom experiment?</x:v>
      </x:c>
      <x:c r="F7" s="37" t="str">
        <x:v>Mentions spillovers between questions or students; peers may reveal reasoning for non-selected questions; one student's treatment can affect another student's outcome; multiple versions of 'discussion' such as 1 vs 2 peers or high- vs low-quality discussion.</x:v>
      </x:c>
      <x:c r="G7" s="37" t="str">
        <x:v>Useful for connecting Day 1 assumptions.</x:v>
      </x:c>
    </x:row>
    <x:row r="8" ht="76" customHeight="1">
      <x:c r="A8" s="37" t="str">
        <x:v>OQ07</x:v>
      </x:c>
      <x:c r="B8" s="37" t="n">
        <x:v>4</x:v>
      </x:c>
      <x:c r="C8" s="37" t="str">
        <x:v>Hard</x:v>
      </x:c>
      <x:c r="D8" s="37" t="str">
        <x:v>Analysis plan</x:v>
      </x:c>
      <x:c r="E8" s="37" t="str">
        <x:v>Propose a simple analysis for estimating the effect of peer discussion using the Round 2 data. What would you compare, and what would you report?</x:v>
      </x:c>
      <x:c r="F8" s="37" t="str">
        <x:v>Compare mean correctness for randomly assigned discussion vs no discussion questions; report difference in means/percentage points, with uncertainty if enough data; optionally stratify by difficulty as pre-specified, but randomization is the key.</x:v>
      </x:c>
      <x:c r="G8" s="37" t="str">
        <x:v>Can be used as a mini-practical prompt.</x:v>
      </x:c>
    </x:row>
    <x:row r="9" ht="76" customHeight="1">
      <x:c r="A9" s="37" t="str">
        <x:v>OQ08</x:v>
      </x:c>
      <x:c r="B9" s="37" t="n">
        <x:v>5</x:v>
      </x:c>
      <x:c r="C9" s="37" t="str">
        <x:v>Hard</x:v>
      </x:c>
      <x:c r="D9" s="37" t="str">
        <x:v>Conditioning and selection</x:v>
      </x:c>
      <x:c r="E9" s="37" t="str">
        <x:v>The instructor only analyzes questions that at least one student chose to discuss in Round 1. Why can this selected subset be problematic?</x:v>
      </x:c>
      <x:c r="F9" s="37" t="str">
        <x:v>Recognizes selection on a variable related to difficulty, uncertainty, and possibly outcome; selected subset is not representative of all questions; conditioning on selection can distort associations; should distinguish this from the randomized Round 2 design.</x:v>
      </x:c>
      <x:c r="G9" s="37" t="str">
        <x:v>Advanced; good for peer discussion.</x:v>
      </x:c>
    </x:row>
    <x:row r="10" ht="76" customHeight="1">
      <x:c r="A10" s="37" t="str">
        <x:v>OQ09</x:v>
      </x:c>
      <x:c r="B10" s="37" t="n">
        <x:v>5</x:v>
      </x:c>
      <x:c r="C10" s="37" t="str">
        <x:v>Hard</x:v>
      </x:c>
      <x:c r="D10" s="37" t="str">
        <x:v>Consistency / treatment versions</x:v>
      </x:c>
      <x:c r="E10" s="37" t="str">
        <x:v>In Round 2, some students discuss with one peer and others with two peers; some peers are more knowledgeable than others. Which causal assumption does this threaten, and how could you redesign the intervention?</x:v>
      </x:c>
      <x:c r="F10" s="37" t="str">
        <x:v>Consistency/well-defined treatment versions; peer discussion is not a single treatment if versions have different effects. Redesign by defining treatment versions explicitly, randomizing number/type of peers, or changing estimand.</x:v>
      </x:c>
      <x:c r="G10" s="37" t="str">
        <x:v>Advanced Day 1 connection.</x:v>
      </x:c>
    </x:row>
    <x:row r="11" ht="76" customHeight="1">
      <x:c r="A11" s="37" t="str">
        <x:v>OQ10</x:v>
      </x:c>
      <x:c r="B11" s="37" t="n">
        <x:v>5</x:v>
      </x:c>
      <x:c r="C11" s="37" t="str">
        <x:v>Hard</x:v>
      </x:c>
      <x:c r="D11" s="37" t="str">
        <x:v>Target trial thinking</x:v>
      </x:c>
      <x:c r="E11" s="37" t="str">
        <x:v>Formulate the classroom experiment as a target trial: units, treatment strategies, outcome, assignment mechanism, and estimand.</x:v>
      </x:c>
      <x:c r="F11" s="37" t="str">
        <x:v>Units could be student-question pairs; treatment strategies are discussion vs no discussion under defined rules; outcome is correctness after update; assignment is random in Round 2; estimand is average effect over the eligible student-question population.</x:v>
      </x:c>
      <x:c r="G11" s="37" t="str">
        <x:v>Good capstone prompt.</x:v>
      </x:c>
    </x:row>
    <x:row r="12" ht="76" customHeight="1">
      <x:c r="A12" s="37" t="str">
        <x:v>OQ11</x:v>
      </x:c>
      <x:c r="B12" s="37" t="n">
        <x:v>3</x:v>
      </x:c>
      <x:c r="C12" s="37" t="str">
        <x:v>Medium</x:v>
      </x:c>
      <x:c r="D12" s="37" t="str">
        <x:v>Confounder vs mediator</x:v>
      </x:c>
      <x:c r="E12" s="37" t="str">
        <x:v>Explain why pregnancy risk in the delivery example and bed rest in the hernia example should lead to different adjustment decisions.</x:v>
      </x:c>
      <x:c r="F12" s="37" t="str">
        <x:v>Pregnancy risk is a common cause of delivery location and neonatal outcome, so adjust for it. Bed rest is caused by recovery location and affects recovery, so it is a mediator; do not adjust for it when estimating the total effect.</x:v>
      </x:c>
      <x:c r="G12" s="37" t="str">
        <x:v>Directly tied to day-2 examples.</x:v>
      </x:c>
    </x:row>
    <x:row r="13" ht="76" customHeight="1">
      <x:c r="A13" s="37" t="str">
        <x:v>OQ12</x:v>
      </x:c>
      <x:c r="B13" s="37" t="n">
        <x:v>4</x:v>
      </x:c>
      <x:c r="C13" s="37" t="str">
        <x:v>Hard</x:v>
      </x:c>
      <x:c r="D13" s="37" t="str">
        <x:v>Identification vs estimation</x:v>
      </x:c>
      <x:c r="E13" s="37" t="str">
        <x:v>Separate the identification question from the estimation question for the peer-discussion experiment.</x:v>
      </x:c>
      <x:c r="F13" s="37" t="str">
        <x:v>Identification: under what assumptions/design can the causal effect be learned, e.g., randomization/exchangeability, SUTVA, positivity. Estimation: how to calculate the effect from finite data, e.g., difference in means, standard errors, stratification.</x:v>
      </x:c>
      <x:c r="G13" s="37" t="str">
        <x:v>Good closing/opening bridge.</x:v>
      </x:c>
    </x:row>
  </x:sheetData>
  <x:conditionalFormatting sqref="B2:B1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407d888cb3942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8" t="str">
        <x:v>Source / alignment</x:v>
      </x:c>
      <x:c r="B1" s="28" t="str">
        <x:v>Details</x:v>
      </x:c>
    </x:row>
    <x:row r="2" ht="48" customHeight="1">
      <x:c r="A2" s="16" t="str">
        <x:v>lecture_day1.pdf</x:v>
      </x:c>
      <x:c r="B2" s="16" t="str">
        <x:v>Used for potential outcomes, factual/counterfactual outcomes, ITE/ATE, observing vs intervening, exchangeability, conditional exchangeability, consistency, no interference/SUTVA, positivity, stratification, matching, and propensity scores.</x:v>
      </x:c>
    </x:row>
    <x:row r="3" ht="48" customHeight="1">
      <x:c r="A3" s="16" t="str">
        <x:v>lec1a.qmd</x:v>
      </x:c>
      <x:c r="B3" s="16" t="str">
        <x:v>Used for DAG introduction, hospital-delivery and hernia motivating examples, DAG definitions, fork/chain/collider patterns, publication collider, and non-parametric interpretation of DAGs.</x:v>
      </x:c>
    </x:row>
    <x:row r="4" ht="48" customHeight="1">
      <x:c r="A4" s="16" t="str">
        <x:v>Notation</x:v>
      </x:c>
      <x:c r="B4" s="16" t="str">
        <x:v>Text arrows use X -&gt; Y for a directed causal edge and X &lt;- Z -&gt; Y for a common-cause/back-door path. Y^1 and Y^0 denote potential outcomes under treatment and control.</x:v>
      </x:c>
    </x:row>
    <x:row r="5" ht="48" customHeight="1">
      <x:c r="A5" s="16" t="str">
        <x:v>Instructor caution</x:v>
      </x:c>
      <x:c r="B5" s="16" t="str">
        <x:v>The workbook contains answer keys. Use the 'Core 36 forms' sheet for copying student-facing questions, not for direct distribution as-is.</x:v>
      </x:c>
    </x:row>
  </x:sheetData>
  <x:pageMargins left="0.7" right="0.7" top="0.75" bottom="0.75" header="0.3" footer="0.3"/>
</x:worksheet>
</file>