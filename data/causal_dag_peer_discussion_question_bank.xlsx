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https://umcutrecht-my.sharepoint.com/personal/w_a_c_vanamsterdam-3_umcutrecht_nl/Documents/bko/reparatie-opdracht/activerend_onderwijs/"/>
    </mc:Choice>
  </mc:AlternateContent>
  <xr:revisionPtr revIDLastSave="3" documentId="11_2070A30F5AF6A3027025867CB98360D300D89517" xr6:coauthVersionLast="47" xr6:coauthVersionMax="47" xr10:uidLastSave="{D4EB7EC9-CD19-E847-A75B-75EFC7EEF9A5}"/>
  <bookViews>
    <workbookView xWindow="0" yWindow="660" windowWidth="34560" windowHeight="20740" activeTab="2" xr2:uid="{00000000-000D-0000-FFFF-FFFF00000000}"/>
  </bookViews>
  <sheets>
    <sheet name="Overview" sheetId="1" r:id="rId1"/>
    <sheet name="Deterministic bank" sheetId="2" r:id="rId2"/>
    <sheet name="Core 36 forms" sheetId="3" r:id="rId3"/>
    <sheet name="Open prompts" sheetId="4" r:id="rId4"/>
    <sheet name="Sources &amp; not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D15" i="1"/>
  <c r="C15" i="1"/>
  <c r="E14" i="1"/>
  <c r="D14" i="1"/>
  <c r="C14" i="1"/>
  <c r="E13" i="1"/>
  <c r="D13" i="1"/>
  <c r="C13" i="1"/>
  <c r="E12" i="1"/>
  <c r="D12" i="1"/>
  <c r="C12" i="1"/>
  <c r="E11" i="1"/>
  <c r="E16" i="1" s="1"/>
  <c r="D11" i="1"/>
  <c r="D16" i="1" s="1"/>
  <c r="C11" i="1"/>
  <c r="C16" i="1" s="1"/>
</calcChain>
</file>

<file path=xl/sharedStrings.xml><?xml version="1.0" encoding="utf-8"?>
<sst xmlns="http://schemas.openxmlformats.org/spreadsheetml/2006/main" count="1266" uniqueCount="544">
  <si>
    <t>Causal data science summer school: quiz question bank</t>
  </si>
  <si>
    <t>Purpose</t>
  </si>
  <si>
    <t>Classroom experiment for Day 2 showing confounding/self-selection versus randomization.</t>
  </si>
  <si>
    <t>What is included</t>
  </si>
  <si>
    <t>48 deterministic/checkable questions, of which 36 are assigned to six 6-question forms and 12 are reserves; plus 12 open prompts.</t>
  </si>
  <si>
    <t>Difficulty design</t>
  </si>
  <si>
    <t>Each core 6-question form contains 1 difficulty-1, 1 difficulty-2, 2 difficulty-3, 1 difficulty-4, and 1 difficulty-5 item.</t>
  </si>
  <si>
    <t>Round 1 use</t>
  </si>
  <si>
    <t>Students self-select one question to discuss; hard questions are designed to be tempting discussion choices, creating confounding by difficulty.</t>
  </si>
  <si>
    <t>Round 2 use</t>
  </si>
  <si>
    <t>Discussion is randomly assigned to questions; compare randomized discussion vs no discussion to demonstrate exchangeability in expectation.</t>
  </si>
  <si>
    <t>Difficulty</t>
  </si>
  <si>
    <t>Band</t>
  </si>
  <si>
    <t>All deterministic</t>
  </si>
  <si>
    <t>Core 36</t>
  </si>
  <si>
    <t>Reserve</t>
  </si>
  <si>
    <t>Easy</t>
  </si>
  <si>
    <t>Medium</t>
  </si>
  <si>
    <t>Hard</t>
  </si>
  <si>
    <t>Total</t>
  </si>
  <si>
    <t>High-leverage instructor note</t>
  </si>
  <si>
    <t>In Round 1, the naive comparison 'discussed vs not discussed' is expected to be biased because the treatment assignment mechanism is partly driven by question difficulty.</t>
  </si>
  <si>
    <t>In Round 2, random assignment breaks the Difficulty -&gt; Discussion arrow in expectation, so the same comparison is closer to the target causal effect.</t>
  </si>
  <si>
    <t>Hard items use multi-step arithmetic or DAG adjustment choices; they should remain discussable but non-trivial.</t>
  </si>
  <si>
    <t>If d-separation/collider descendants have not been covered, consider replacing Q018 with a reserve item before using it.</t>
  </si>
  <si>
    <t>ID</t>
  </si>
  <si>
    <t>Use</t>
  </si>
  <si>
    <t>Round</t>
  </si>
  <si>
    <t>Student form</t>
  </si>
  <si>
    <t>Slot</t>
  </si>
  <si>
    <t>Topic</t>
  </si>
  <si>
    <t>Type</t>
  </si>
  <si>
    <t>Question</t>
  </si>
  <si>
    <t>Option A</t>
  </si>
  <si>
    <t>Option B</t>
  </si>
  <si>
    <t>Option C</t>
  </si>
  <si>
    <t>Option D</t>
  </si>
  <si>
    <t>Correct answer</t>
  </si>
  <si>
    <t>Brief rationale / grading note</t>
  </si>
  <si>
    <t>Instructor note</t>
  </si>
  <si>
    <t>Q001</t>
  </si>
  <si>
    <t>Round 1</t>
  </si>
  <si>
    <t>Student A</t>
  </si>
  <si>
    <t>Level 2</t>
  </si>
  <si>
    <t>Potential outcomes</t>
  </si>
  <si>
    <t>MCQ</t>
  </si>
  <si>
    <t>Which expression is the average treatment effect (ATE) for a binary treatment X?</t>
  </si>
  <si>
    <t>E[Y | X=1] - E[Y | X=0]</t>
  </si>
  <si>
    <t>E[Y^1] - E[Y^0]</t>
  </si>
  <si>
    <t>P(X=1 | Y=1)</t>
  </si>
  <si>
    <t>Y_i^1 - Y_i^0 for one unit</t>
  </si>
  <si>
    <t>B</t>
  </si>
  <si>
    <t>The ATE is the population average contrast between potential outcomes; D is an individual treatment effect and A is an observed association.</t>
  </si>
  <si>
    <t>Good opener: separates causal estimand from observed difference.</t>
  </si>
  <si>
    <t>Q002</t>
  </si>
  <si>
    <t>Level 3</t>
  </si>
  <si>
    <t>True/False</t>
  </si>
  <si>
    <t>A student receives peer discussion (X=1). In potential-outcome notation, the observed outcome is Y^1 and Y^0 is counterfactual for that student.</t>
  </si>
  <si>
    <t>True</t>
  </si>
  <si>
    <t>False</t>
  </si>
  <si>
    <t>A</t>
  </si>
  <si>
    <t>Under X=1, the factual outcome corresponds to Y^1; the no-discussion outcome Y^0 is not observed.</t>
  </si>
  <si>
    <t>Maps directly to the classroom experiment.</t>
  </si>
  <si>
    <t>Q003</t>
  </si>
  <si>
    <t>Level 4</t>
  </si>
  <si>
    <t>Numeric</t>
  </si>
  <si>
    <t>For four units, Y^1 = (1, 0, 1, 1) and Y^0 = (0, 0, 1, 0). What is the ATE?</t>
  </si>
  <si>
    <t>0.50</t>
  </si>
  <si>
    <t>E[Y^1]=3/4 and E[Y^0]=1/4, so ATE=0.50.</t>
  </si>
  <si>
    <t>Deterministic arithmetic.</t>
  </si>
  <si>
    <t>Q004</t>
  </si>
  <si>
    <t>DAG patterns</t>
  </si>
  <si>
    <t>Consider the fork DAG Z -&gt; X and Z -&gt; Y, with no arrow from X to Y. Which statement is correct?</t>
  </si>
  <si>
    <t>X and Y must be independent marginally and dependent after conditioning on Z.</t>
  </si>
  <si>
    <t>X and Y may be associated marginally, but the path is blocked by conditioning on Z.</t>
  </si>
  <si>
    <t>Z is a collider.</t>
  </si>
  <si>
    <t>Z is a mediator from X to Y.</t>
  </si>
  <si>
    <t>A common cause can induce an association between X and Y; conditioning on the common cause blocks that path.</t>
  </si>
  <si>
    <t>Basic confounding pattern.</t>
  </si>
  <si>
    <t>Q005</t>
  </si>
  <si>
    <t>Level 5</t>
  </si>
  <si>
    <t>Confounding / standardization</t>
  </si>
  <si>
    <t>In the delivery example, within low-risk pregnancies hospital outcome=95% and home=90%; within high-risk pregnancies hospital=80% and home=50%. In a target population with 80% low-risk and 20% high-risk pregnancies, what is the risk-standardized effect of hospital versus home delivery on good outcome?</t>
  </si>
  <si>
    <t>-0.045</t>
  </si>
  <si>
    <t>0.00</t>
  </si>
  <si>
    <t>+0.10</t>
  </si>
  <si>
    <t>+0.50</t>
  </si>
  <si>
    <t>C</t>
  </si>
  <si>
    <t>Hospital: 0.95*0.80 + 0.80*0.20 = 0.92. Home: 0.90*0.80 + 0.50*0.20 = 0.82. Difference = +0.10.</t>
  </si>
  <si>
    <t>Hard because marginal and stratified answers differ.</t>
  </si>
  <si>
    <t>Q006</t>
  </si>
  <si>
    <t>Level 6</t>
  </si>
  <si>
    <t>Back-door adjustment</t>
  </si>
  <si>
    <t>Graph: Z -&gt; X, Z -&gt; Y, X -&gt; M, M -&gt; Y. You want the total effect of X on Y. Which adjustment set is best?</t>
  </si>
  <si>
    <t>Do not adjust for any variable.</t>
  </si>
  <si>
    <t>Adjust for Z only.</t>
  </si>
  <si>
    <t>Adjust for M only.</t>
  </si>
  <si>
    <t>Adjust for both Z and M.</t>
  </si>
  <si>
    <t>Z blocks the back-door path X &lt;- Z -&gt; Y. M lies on the causal pathway X -&gt; M -&gt; Y, so adjusting for M would block part of the total effect.</t>
  </si>
  <si>
    <t>Good peer-discussion item.</t>
  </si>
  <si>
    <t>Q007</t>
  </si>
  <si>
    <t>Student B</t>
  </si>
  <si>
    <t>DAG basics</t>
  </si>
  <si>
    <t>In a causal DAG, what does a node usually represent?</t>
  </si>
  <si>
    <t>A variable.</t>
  </si>
  <si>
    <t>A p-value.</t>
  </si>
  <si>
    <t>A regression coefficient.</t>
  </si>
  <si>
    <t>A random sample size.</t>
  </si>
  <si>
    <t>DAG nodes represent variables; directed edges represent assumed causal relations.</t>
  </si>
  <si>
    <t>Very quick check.</t>
  </si>
  <si>
    <t>Q008</t>
  </si>
  <si>
    <t>Identification assumptions</t>
  </si>
  <si>
    <t>Which statement about causal identifiability assumptions is most accurate?</t>
  </si>
  <si>
    <t>They are the same as linearity and normality assumptions.</t>
  </si>
  <si>
    <t>They state what would need to be true, in principle, to learn the causal effect from the data-generating setting.</t>
  </si>
  <si>
    <t>They can always be verified by a p-value.</t>
  </si>
  <si>
    <t>They only matter after fitting a regression model.</t>
  </si>
  <si>
    <t>Identifiability assumptions concern the causal/data-generating setting, not just statistical model form, and are typically not testable from the observed data alone.</t>
  </si>
  <si>
    <t>Q009</t>
  </si>
  <si>
    <t>Randomization / exchangeability</t>
  </si>
  <si>
    <t>Random assignment breaks systematic dependence between treatment assignment and potential outcomes in expectation.</t>
  </si>
  <si>
    <t>Links Day 1 exchangeability to Round 2.</t>
  </si>
  <si>
    <t>Q010</t>
  </si>
  <si>
    <t>Mediation</t>
  </si>
  <si>
    <t>Graph: X -&gt; M -&gt; Y. You want the total effect of X on Y. Should you adjust for M?</t>
  </si>
  <si>
    <t>Yes, because every variable in a DAG should be adjusted for.</t>
  </si>
  <si>
    <t>No, because M lies on the causal pathway from X to Y.</t>
  </si>
  <si>
    <t>Yes, because M is a confounder.</t>
  </si>
  <si>
    <t>No, because DAGs never guide adjustment decisions.</t>
  </si>
  <si>
    <t>For a total effect, conditioning on a mediator blocks part of the effect of X on Y.</t>
  </si>
  <si>
    <t>Parallel to hernia/bed-rest example.</t>
  </si>
  <si>
    <t>Q011</t>
  </si>
  <si>
    <t>Collider / selection bias</t>
  </si>
  <si>
    <t>Publication is caused by both methodological quality and interesting results. If you analyze only published studies, what can happen between methodological quality and interesting results?</t>
  </si>
  <si>
    <t>They remain exactly independent in the published subset.</t>
  </si>
  <si>
    <t>Methodological quality causes interesting results.</t>
  </si>
  <si>
    <t>They can become negatively associated because publication is a collider or selection variable.</t>
  </si>
  <si>
    <t>The association proves that interesting results reduce quality.</t>
  </si>
  <si>
    <t>Conditioning on a common effect can induce dependence between its causes; the induced association is not a causal effect.</t>
  </si>
  <si>
    <t>Hard but memorable.</t>
  </si>
  <si>
    <t>Q012</t>
  </si>
  <si>
    <t>Stratification / standardization</t>
  </si>
  <si>
    <t>Naive difference E[Y|X=1]-E[Y|X=0] = 0.10. After stratifying on Z, the stratum-specific differences are 0.20 for Z=0 and -0.04 for Z=1. The target population has P(Z=0)=0.25 and P(Z=1)=0.75. What standardized ATE estimate do you get?</t>
  </si>
  <si>
    <t>-0.04</t>
  </si>
  <si>
    <t>+0.02</t>
  </si>
  <si>
    <t>+0.16</t>
  </si>
  <si>
    <t>0.25*0.20 + 0.75*(-0.04) = 0.05 - 0.03 = +0.02.</t>
  </si>
  <si>
    <t>Multi-step numeric.</t>
  </si>
  <si>
    <t>Q013</t>
  </si>
  <si>
    <t>Student C</t>
  </si>
  <si>
    <t>A causal effect can be defined as a contrast between potential outcomes.</t>
  </si>
  <si>
    <t>In the potential-outcomes framework, causal effects compare outcomes under different treatment levels.</t>
  </si>
  <si>
    <t>Q014</t>
  </si>
  <si>
    <t>Positivity</t>
  </si>
  <si>
    <t>For a binary treatment X and covariates Z, positivity means:</t>
  </si>
  <si>
    <t>Every person has a positive outcome.</t>
  </si>
  <si>
    <t>The treatment effect must be positive.</t>
  </si>
  <si>
    <t>Only treated people appear in every covariate stratum.</t>
  </si>
  <si>
    <t>Both X=1 and X=0 are possible at each relevant level or combination of Z.</t>
  </si>
  <si>
    <t>D</t>
  </si>
  <si>
    <t>Positivity requires exposed and unexposed units at covariate levels in the target population.</t>
  </si>
  <si>
    <t>Q015</t>
  </si>
  <si>
    <t>Confounding</t>
  </si>
  <si>
    <t>In the hospital-delivery DAG, pregnancy risk affects both delivery location and neonatal outcome. What role does pregnancy risk play?</t>
  </si>
  <si>
    <t>Mediator.</t>
  </si>
  <si>
    <t>Collider.</t>
  </si>
  <si>
    <t>Confounder / common cause.</t>
  </si>
  <si>
    <t>Outcome only.</t>
  </si>
  <si>
    <t>Pregnancy risk is a common cause of treatment and outcome.</t>
  </si>
  <si>
    <t>From the day-2 delivery example.</t>
  </si>
  <si>
    <t>Q016</t>
  </si>
  <si>
    <t>DAG basics / SCM intuition</t>
  </si>
  <si>
    <t>What does it mean, in this lecture context, to say that DAGs are non-parametric?</t>
  </si>
  <si>
    <t>They encode which variables causally 'listen to' which other variables, but not the exact functional forms.</t>
  </si>
  <si>
    <t>They require all effects to be linear.</t>
  </si>
  <si>
    <t>They can only be used with categorical variables.</t>
  </si>
  <si>
    <t>They estimate coefficients without assumptions.</t>
  </si>
  <si>
    <t>A DAG specifies causal parent relations, not whether those relations are linear, nonlinear, additive, etc.</t>
  </si>
  <si>
    <t>From day-2 nonparametric DAG slide.</t>
  </si>
  <si>
    <t>Q017</t>
  </si>
  <si>
    <t>Potential outcomes / ATE</t>
  </si>
  <si>
    <t>For eight people, Y^1 = (1,0,1,1,0,1,1,0) and Y^0 = (1,0,0,1,1,0,0,0). What is the ATE?</t>
  </si>
  <si>
    <t>-0.25</t>
  </si>
  <si>
    <t>+0.25</t>
  </si>
  <si>
    <t>E[Y^1]=5/8 and E[Y^0]=3/8, so ATE=2/8=+0.25.</t>
  </si>
  <si>
    <t>Based on the aspirin table.</t>
  </si>
  <si>
    <t>Q018</t>
  </si>
  <si>
    <t>Collider / d-separation</t>
  </si>
  <si>
    <t>Graph: A -&gt; C &lt;- B and C -&gt; D. Which conditioning choice opens a path between A and B?</t>
  </si>
  <si>
    <t>Conditioning on neither C nor D.</t>
  </si>
  <si>
    <t>Conditioning on C only.</t>
  </si>
  <si>
    <t>Conditioning on D only.</t>
  </si>
  <si>
    <t>Conditioning on either C or D.</t>
  </si>
  <si>
    <t>A collider blocks the path unless the collider or a descendant of the collider is conditioned on.</t>
  </si>
  <si>
    <t>Use as reserve if descendants of colliders were not covered.</t>
  </si>
  <si>
    <t>Q019</t>
  </si>
  <si>
    <t>Round 2</t>
  </si>
  <si>
    <t>Randomization</t>
  </si>
  <si>
    <t>Random assignment is valuable for causal inference mainly because it:</t>
  </si>
  <si>
    <t>Makes all outcomes identical.</t>
  </si>
  <si>
    <t>Eliminates the need to define an outcome.</t>
  </si>
  <si>
    <t>Makes treatment independent of potential outcomes in expectation.</t>
  </si>
  <si>
    <t>Guarantees no measurement error.</t>
  </si>
  <si>
    <t>Randomization supports exchangeability by making treatment assignment unrelated to potential outcomes in expectation.</t>
  </si>
  <si>
    <t>Q020</t>
  </si>
  <si>
    <t>A quiz question is randomly selected for peer discussion (X=1) and is answered correctly (Y=1). Which potential outcome is observed for that question-student unit?</t>
  </si>
  <si>
    <t>Y^1 = 1.</t>
  </si>
  <si>
    <t>Y^0 = 1.</t>
  </si>
  <si>
    <t>Both Y^1 and Y^0.</t>
  </si>
  <si>
    <t>Neither potential outcome.</t>
  </si>
  <si>
    <t>When X=1, the factual potential outcome is Y^1.</t>
  </si>
  <si>
    <t>Uses the classroom experiment directly.</t>
  </si>
  <si>
    <t>Q021</t>
  </si>
  <si>
    <t>Potential outcomes / ITE</t>
  </si>
  <si>
    <t>For three units, Y^1=(1,1,0) and Y^0=(0,1,0). Which ITE vector and ATE are correct?</t>
  </si>
  <si>
    <t>ITE=(1,0,0), ATE=1/3.</t>
  </si>
  <si>
    <t>ITE=(0,1,0), ATE=1/3.</t>
  </si>
  <si>
    <t>ITE=(1,1,0), ATE=2/3.</t>
  </si>
  <si>
    <t>ITE=(0,0,0), ATE=0.</t>
  </si>
  <si>
    <t>Subtract component-wise: (1-0, 1-1, 0-0)=(1,0,0); the average is 1/3.</t>
  </si>
  <si>
    <t>Q022</t>
  </si>
  <si>
    <t>In the hernia example, hospital recovery location affects bed rest, and bed rest affects walking after one week. What is bed rest in the DAG?</t>
  </si>
  <si>
    <t>Confounder.</t>
  </si>
  <si>
    <t>Instrument.</t>
  </si>
  <si>
    <t>Bed rest lies on the path from location to recovery.</t>
  </si>
  <si>
    <t>From day-2 hernia example.</t>
  </si>
  <si>
    <t>Q023</t>
  </si>
  <si>
    <t>Confounding / Simpson's paradox</t>
  </si>
  <si>
    <t>Delivery table: home has 648/720 good outcomes among low-risk and 40/80 among high-risk; hospital has 19/20 low-risk and 144/180 high-risk. What is the marginal hospital-minus-home difference in good outcome?</t>
  </si>
  <si>
    <t>-4.5 percentage points.</t>
  </si>
  <si>
    <t>+10 percentage points.</t>
  </si>
  <si>
    <t>+50 percentage points.</t>
  </si>
  <si>
    <t>0 percentage points.</t>
  </si>
  <si>
    <t>Hospital: (19+144)/(20+180)=163/200=81.5%. Home: (648+40)/(720+80)=688/800=86.0%. Difference=-4.5 percentage points.</t>
  </si>
  <si>
    <t>Contrasts with Q005.</t>
  </si>
  <si>
    <t>Q024</t>
  </si>
  <si>
    <t>Confounding and mediation</t>
  </si>
  <si>
    <t>Graph: Z -&gt; X, Z -&gt; Y, X -&gt; M, M -&gt; Y. You adjust for M but not Z while trying to estimate the total effect of X on Y. What is the main problem?</t>
  </si>
  <si>
    <t>You block part of the causal effect and leave the back-door path through Z open.</t>
  </si>
  <si>
    <t>You perfectly estimate the total effect.</t>
  </si>
  <si>
    <t>You create randomization.</t>
  </si>
  <si>
    <t>You remove all missing data.</t>
  </si>
  <si>
    <t>M lies on the causal pathway, while Z is the confounder that needed adjustment.</t>
  </si>
  <si>
    <t>Hard conceptual synthesis.</t>
  </si>
  <si>
    <t>Q025</t>
  </si>
  <si>
    <t>Causal frameworks</t>
  </si>
  <si>
    <t>Which pair of causal inference frameworks are being connected across Day 1 and Day 2?</t>
  </si>
  <si>
    <t>Potential outcomes and causal DAGs / structural causal models.</t>
  </si>
  <si>
    <t>k-means clustering and random forests.</t>
  </si>
  <si>
    <t>Linear regression and logistic regression only.</t>
  </si>
  <si>
    <t>Cross-validation and bootstrapping.</t>
  </si>
  <si>
    <t>Day 1 introduced potential outcomes; Day 2 introduces DAGs/SCMs.</t>
  </si>
  <si>
    <t>Q026</t>
  </si>
  <si>
    <t>Consistency</t>
  </si>
  <si>
    <t>Which example most directly illustrates a possible consistency problem?</t>
  </si>
  <si>
    <t>Treatment is randomly assigned with a coin flip.</t>
  </si>
  <si>
    <t>The treatment 'after-school class' includes online tutoring, group homework club, and private coaching, each possibly with different effects.</t>
  </si>
  <si>
    <t>The outcome is measured on a binary scale.</t>
  </si>
  <si>
    <t>There are exactly two treatment groups.</t>
  </si>
  <si>
    <t>Consistency requires treatment versions to be well-defined; multiple versions with different effects make the causal question ambiguous.</t>
  </si>
  <si>
    <t>Q027</t>
  </si>
  <si>
    <t>Conditional exchangeability</t>
  </si>
  <si>
    <t>Which statement best expresses conditional exchangeability?</t>
  </si>
  <si>
    <t>Y^x is independent of X given Z.</t>
  </si>
  <si>
    <t>Y is independent of Z given X in every dataset.</t>
  </si>
  <si>
    <t>X is independent of Z marginally.</t>
  </si>
  <si>
    <t>Y^1 must equal Y^0 for every unit.</t>
  </si>
  <si>
    <t>Conditional exchangeability says treatment assignment is independent of the potential outcomes within levels of observed confounders Z.</t>
  </si>
  <si>
    <t>Q028</t>
  </si>
  <si>
    <t>Back-door paths</t>
  </si>
  <si>
    <t>In the DAG Z -&gt; X, Z -&gt; Y, X -&gt; Y, which path is a back-door path from X to Y?</t>
  </si>
  <si>
    <t>X -&gt; Y.</t>
  </si>
  <si>
    <t>X &lt;- Z -&gt; Y.</t>
  </si>
  <si>
    <t>Z -&gt; X.</t>
  </si>
  <si>
    <t>Y &lt;- X.</t>
  </si>
  <si>
    <t>A back-door path from X begins with an arrow into X; X &lt;- Z -&gt; Y is the confounding path.</t>
  </si>
  <si>
    <t>Q029</t>
  </si>
  <si>
    <t>Collider / bad controls</t>
  </si>
  <si>
    <t>Which variable should generally not be conditioned on when estimating a total causal effect, because doing so can induce bias?</t>
  </si>
  <si>
    <t>A pre-treatment common cause of treatment and outcome.</t>
  </si>
  <si>
    <t>A randomized treatment indicator.</t>
  </si>
  <si>
    <t>A collider or selection variable caused by both treatment and outcome.</t>
  </si>
  <si>
    <t>A measured outcome.</t>
  </si>
  <si>
    <t>Conditioning on a collider can open a noncausal path.</t>
  </si>
  <si>
    <t>Q030</t>
  </si>
  <si>
    <t>Positivity / overlap</t>
  </si>
  <si>
    <t>Counts by Z and treatment: Z=0 has X=0: n=0, X=1: n=20; Z=1 has X=0: n=15, X=1: n=25; Z=2 has X=0: n=30, X=1: n=0. For which Z level is positivity satisfied?</t>
  </si>
  <si>
    <t>Only Z=0.</t>
  </si>
  <si>
    <t>Only Z=1.</t>
  </si>
  <si>
    <t>Only Z=2.</t>
  </si>
  <si>
    <t>All Z levels.</t>
  </si>
  <si>
    <t>At Z=1, both treated and untreated units are present. Z=0 and Z=2 each have an empty treatment cell.</t>
  </si>
  <si>
    <t>Good hard-but-checkable item.</t>
  </si>
  <si>
    <t>Q031</t>
  </si>
  <si>
    <t>A directed edge X -&gt; Y in a causal DAG means:</t>
  </si>
  <si>
    <t>X may be a direct cause of Y in the assumed causal model.</t>
  </si>
  <si>
    <t>Y must cause X.</t>
  </si>
  <si>
    <t>X and Y are necessarily independent.</t>
  </si>
  <si>
    <t>The effect is necessarily linear.</t>
  </si>
  <si>
    <t>The edge encodes a causal direction assumption, not a functional form.</t>
  </si>
  <si>
    <t>Q032</t>
  </si>
  <si>
    <t>Observing vs intervening</t>
  </si>
  <si>
    <t>Observing that E[Y | X=1] differs from E[Y | X=0] generally proves that X causes Y.</t>
  </si>
  <si>
    <t>Observed differences can be due to confounding or selection; observing is not the same as intervening.</t>
  </si>
  <si>
    <t>Q033</t>
  </si>
  <si>
    <t>Observed association</t>
  </si>
  <si>
    <t>In an observational dataset, the treated mean outcome is 0.40 and the untreated mean outcome is 0.55. What is the naive treated-minus-untreated difference?</t>
  </si>
  <si>
    <t>-0.15</t>
  </si>
  <si>
    <t>+0.15</t>
  </si>
  <si>
    <t>0.40</t>
  </si>
  <si>
    <t>0.95</t>
  </si>
  <si>
    <t>0.40 - 0.55 = -0.15.</t>
  </si>
  <si>
    <t>Useful for the experiment's naive analysis.</t>
  </si>
  <si>
    <t>Q034</t>
  </si>
  <si>
    <t>Matching</t>
  </si>
  <si>
    <t>Matching is intended to:</t>
  </si>
  <si>
    <t>Find treated and untreated units with similar covariate values or propensity scores, then compare their outcomes.</t>
  </si>
  <si>
    <t>Make the sample size exactly zero.</t>
  </si>
  <si>
    <t>Condition on colliders by design.</t>
  </si>
  <si>
    <t>Replace causal assumptions with p-values.</t>
  </si>
  <si>
    <t>Matching tries to create balanced treated and untreated groups on measured confounders.</t>
  </si>
  <si>
    <t>Q035</t>
  </si>
  <si>
    <t>Causal language / study design</t>
  </si>
  <si>
    <t>Why is it misleading to simply say 'RCTs are causal, observational studies are never causal'?</t>
  </si>
  <si>
    <t>Because observational data always prove causality.</t>
  </si>
  <si>
    <t>Because the research goal may be causal in either case; the issue is whether the design, assumptions, and analysis justify the causal inference.</t>
  </si>
  <si>
    <t>Because RCTs never need assumptions.</t>
  </si>
  <si>
    <t>Because causal language is unrelated to research questions.</t>
  </si>
  <si>
    <t>Causal modeling asks when causal effects can be learned from data, not just whether a study is labeled randomized or observational.</t>
  </si>
  <si>
    <t>Conceptual; may be harder than it looks.</t>
  </si>
  <si>
    <t>Q036</t>
  </si>
  <si>
    <t>Graph: X &lt;- A -&gt; B -&gt; Y, X &lt;- C -&gt; Y, and X -&gt; Y. Which adjustment set blocks the listed back-door paths while preserving the direct causal path X -&gt; Y?</t>
  </si>
  <si>
    <t>{A}</t>
  </si>
  <si>
    <t>{C}</t>
  </si>
  <si>
    <t>{A, C}</t>
  </si>
  <si>
    <t>{A, B}</t>
  </si>
  <si>
    <t>{A,C} blocks X &lt;- A -&gt; B -&gt; Y and X &lt;- C -&gt; Y. Adjusting for only A or only C leaves one back-door path open.</t>
  </si>
  <si>
    <t>Hard DAG synthesis.</t>
  </si>
  <si>
    <t>Q037</t>
  </si>
  <si>
    <t>Statistical vs causal questions</t>
  </si>
  <si>
    <t>Which question is most clearly causal rather than merely descriptive or predictive?</t>
  </si>
  <si>
    <t>What is P(Y | X=5) in the observed data?</t>
  </si>
  <si>
    <t>What is the mean of X in the sample?</t>
  </si>
  <si>
    <t>What phenotype would occur if gene X expression were suppressed?</t>
  </si>
  <si>
    <t>Are X and Y correlated?</t>
  </si>
  <si>
    <t>It asks about an intervention on gene expression.</t>
  </si>
  <si>
    <t>Reserve easy.</t>
  </si>
  <si>
    <t>Q038</t>
  </si>
  <si>
    <t>What does the word 'acyclic' mean in directed acyclic graph?</t>
  </si>
  <si>
    <t>There is no directed cycle that returns to a variable.</t>
  </si>
  <si>
    <t>Every variable has exactly two parents.</t>
  </si>
  <si>
    <t>All arrows point left.</t>
  </si>
  <si>
    <t>The graph contains no variables.</t>
  </si>
  <si>
    <t>A DAG cannot contain a directed loop such as X -&gt; Y -&gt; X.</t>
  </si>
  <si>
    <t>Q039</t>
  </si>
  <si>
    <t>No interference</t>
  </si>
  <si>
    <t>No interference means:</t>
  </si>
  <si>
    <t>One unit's potential outcomes do not depend on treatments assigned to other units.</t>
  </si>
  <si>
    <t>The treatment effect is zero.</t>
  </si>
  <si>
    <t>No one talks during the experiment.</t>
  </si>
  <si>
    <t>All covariates are measured without error.</t>
  </si>
  <si>
    <t>No interference is the part of SUTVA about treatments assigned to other units.</t>
  </si>
  <si>
    <t>Classroom experiment can violate this if discussion spills over.</t>
  </si>
  <si>
    <t>Q040</t>
  </si>
  <si>
    <t>Propensity scores</t>
  </si>
  <si>
    <t>A propensity score is:</t>
  </si>
  <si>
    <t>P(Y=1 | X=1).</t>
  </si>
  <si>
    <t>P(X=1 | Z), the probability of treatment given covariates.</t>
  </si>
  <si>
    <t>The observed treatment effect.</t>
  </si>
  <si>
    <t>A measure of outcome variance only.</t>
  </si>
  <si>
    <t>Propensity scores summarize how measured covariates predict treatment assignment.</t>
  </si>
  <si>
    <t>Q041</t>
  </si>
  <si>
    <t>If E[Y^1]=0.62 and E[Y^0]=0.45, what is the ATE?</t>
  </si>
  <si>
    <t>0.17</t>
  </si>
  <si>
    <t>0.62 - 0.45 = 0.17.</t>
  </si>
  <si>
    <t>Q042</t>
  </si>
  <si>
    <t>SUTVA</t>
  </si>
  <si>
    <t>SUTVA combines which two ideas?</t>
  </si>
  <si>
    <t>Consistency and no interference.</t>
  </si>
  <si>
    <t>Linearity and homoskedasticity.</t>
  </si>
  <si>
    <t>Randomization and blinding only.</t>
  </si>
  <si>
    <t>Acyclicity and normality.</t>
  </si>
  <si>
    <t>SUTVA includes well-defined treatment versions/consistency and no interference.</t>
  </si>
  <si>
    <t>Q043</t>
  </si>
  <si>
    <t>Graph: X -&gt; M -&gt; Y and X -&gt; Y. What role does M play?</t>
  </si>
  <si>
    <t>Unrelated variable.</t>
  </si>
  <si>
    <t>M transmits part of the effect of X on Y.</t>
  </si>
  <si>
    <t>Q044</t>
  </si>
  <si>
    <t>Stratification</t>
  </si>
  <si>
    <t>A stratified analysis gives effects 0.10 in stratum Z=0 and 0.30 in stratum Z=1. The target population weights are 0.40 and 0.60. What is the weighted effect?</t>
  </si>
  <si>
    <t>0.18</t>
  </si>
  <si>
    <t>0.20</t>
  </si>
  <si>
    <t>0.22</t>
  </si>
  <si>
    <t>0.30</t>
  </si>
  <si>
    <t>0.40*0.10 + 0.60*0.30 = 0.04 + 0.18 = 0.22.</t>
  </si>
  <si>
    <t>Q045</t>
  </si>
  <si>
    <t>Graph: Z -&gt; X and Z -&gt; Y, with no causal arrow X -&gt; Y. If you perfectly condition on Z, what association between X and Y should remain through this path?</t>
  </si>
  <si>
    <t>No association through that path.</t>
  </si>
  <si>
    <t>A stronger positive association.</t>
  </si>
  <si>
    <t>A stronger negative association.</t>
  </si>
  <si>
    <t>A guaranteed causal effect.</t>
  </si>
  <si>
    <t>Conditioning on the common cause blocks the fork path.</t>
  </si>
  <si>
    <t>Q046</t>
  </si>
  <si>
    <t>Graph: X -&gt; S &lt;- Y. What is the main danger of analyzing only units with S=1?</t>
  </si>
  <si>
    <t>It conditions on a collider and can induce association between X and Y.</t>
  </si>
  <si>
    <t>It always removes every bias.</t>
  </si>
  <si>
    <t>It creates a randomized experiment.</t>
  </si>
  <si>
    <t>It makes X cause S impossible.</t>
  </si>
  <si>
    <t>Selecting on S conditions on a common effect.</t>
  </si>
  <si>
    <t>Q047</t>
  </si>
  <si>
    <t>Which graph is not a DAG because it contains a directed cycle?</t>
  </si>
  <si>
    <t>X -&gt; Y -&gt; Z.</t>
  </si>
  <si>
    <t>X &lt;- Y -&gt; Z.</t>
  </si>
  <si>
    <t>X -&gt; Y -&gt; Z -&gt; X.</t>
  </si>
  <si>
    <t>X -&gt; Y &lt;- Z.</t>
  </si>
  <si>
    <t>X -&gt; Y -&gt; Z -&gt; X returns to X along directed arrows, so it is cyclic.</t>
  </si>
  <si>
    <t>Q048</t>
  </si>
  <si>
    <t>Back-door adjustment / collider</t>
  </si>
  <si>
    <t>Graph: U -&gt; X, U -&gt; Y, X -&gt; Y, and X -&gt; S &lt;- Y. You want the total effect of X on Y. Which adjustment set is best?</t>
  </si>
  <si>
    <t>No adjustment.</t>
  </si>
  <si>
    <t>{S}.</t>
  </si>
  <si>
    <t>{U}.</t>
  </si>
  <si>
    <t>{U, S}.</t>
  </si>
  <si>
    <t>U is the confounder to adjust for. S is a collider caused by X and Y; adjusting for S can induce bias.</t>
  </si>
  <si>
    <t>Hard synthesis of confounding and collider bias.</t>
  </si>
  <si>
    <t>Q049</t>
  </si>
  <si>
    <t>Adjustment</t>
  </si>
  <si>
    <t>For DAG X&lt;-Z1-&gt;Y, X&lt;-Z2-&gt;Y, Z1-&gt;Z2, which is a minimal sufficient adjustment set?</t>
  </si>
  <si>
    <t>{Z1}</t>
  </si>
  <si>
    <t>{Z2}</t>
  </si>
  <si>
    <t>{Z1,Z2}</t>
  </si>
  <si>
    <t>No adjustment set</t>
  </si>
  <si>
    <t>Need both backdoor paths blocked.</t>
  </si>
  <si>
    <t>Extra hard</t>
  </si>
  <si>
    <t>Q050</t>
  </si>
  <si>
    <t>Collider</t>
  </si>
  <si>
    <t>A variable W is caused by both treatment X and an unmeasured cause U of outcome Y. Conditioning on W will usually...</t>
  </si>
  <si>
    <t>Reduce confounding</t>
  </si>
  <si>
    <t>Open a noncausal path</t>
  </si>
  <si>
    <t>Estimate direct effect</t>
  </si>
  <si>
    <t>Guarantee exchangeability</t>
  </si>
  <si>
    <t>Collider bias.</t>
  </si>
  <si>
    <t>Q051</t>
  </si>
  <si>
    <t>Which violation of SUTVA cannot be fixed by measuring more covariates?</t>
  </si>
  <si>
    <t>Unmeasured confounding</t>
  </si>
  <si>
    <t>Interference between students</t>
  </si>
  <si>
    <t>Measurement error</t>
  </si>
  <si>
    <t>Interference is structural.</t>
  </si>
  <si>
    <t>Q052</t>
  </si>
  <si>
    <t>Identification</t>
  </si>
  <si>
    <t>Two adjustment sets are both valid. Which should be preferred for identification?</t>
  </si>
  <si>
    <t>Smaller valid set is always sufficient</t>
  </si>
  <si>
    <t>Largest possible set</t>
  </si>
  <si>
    <t>Either identifies effect; efficiency may differ</t>
  </si>
  <si>
    <t>Neither</t>
  </si>
  <si>
    <t>Identification vs efficiency.</t>
  </si>
  <si>
    <t>Q053</t>
  </si>
  <si>
    <t>Selection</t>
  </si>
  <si>
    <t>A hospital registry only includes admitted patients. Admission depends on treatment and disease severity. Main concern?</t>
  </si>
  <si>
    <t>Confounding only</t>
  </si>
  <si>
    <t>Selection bias</t>
  </si>
  <si>
    <t>Positivity only</t>
  </si>
  <si>
    <t>Selection collider.</t>
  </si>
  <si>
    <t>Q054</t>
  </si>
  <si>
    <t>Counterfactuals</t>
  </si>
  <si>
    <t>Knowing every observed covariate is insufficient to identify an ITE because...</t>
  </si>
  <si>
    <t>ATE undefined</t>
  </si>
  <si>
    <t>Counterfactual remains unobserved</t>
  </si>
  <si>
    <t>Regression cannot estimate it</t>
  </si>
  <si>
    <t>Need DAG only</t>
  </si>
  <si>
    <t>Fundamental problem.</t>
  </si>
  <si>
    <t>Open prompt</t>
  </si>
  <si>
    <t>Strong answer includes / rubric</t>
  </si>
  <si>
    <t>Suggested use</t>
  </si>
  <si>
    <t>OQ01</t>
  </si>
  <si>
    <t>In your own words, explain why observing that discussed questions have lower scores does not by itself show that peer discussion is harmful.</t>
  </si>
  <si>
    <t>Mentions self-selection; hard questions are more likely to be discussed; observed discussed and not-discussed questions are not exchangeable; need randomization or adjustment.</t>
  </si>
  <si>
    <t>Good immediate debrief after Round 1.</t>
  </si>
  <si>
    <t>OQ02</t>
  </si>
  <si>
    <t>Confounding in the classroom experiment</t>
  </si>
  <si>
    <t>Name at least two variables that could confound the relationship between 'question discussed' and 'answered correctly' in Round 1.</t>
  </si>
  <si>
    <t>Question difficulty is central; also prior knowledge, confidence, time spent, ambiguity, student ability, or interest. Each named variable should plausibly affect both choice to discuss and correctness.</t>
  </si>
  <si>
    <t>Can be asked orally.</t>
  </si>
  <si>
    <t>OQ03</t>
  </si>
  <si>
    <t>DAG construction</t>
  </si>
  <si>
    <t>Draw a simple DAG for Round 1 self-selected discussion. Include question difficulty, discussion, and correctness. Explain the expected direction of the naive bias.</t>
  </si>
  <si>
    <t>Includes Difficulty -&gt; Discussion and Difficulty -&gt; Correctness; may include Discussion -&gt; Correctness. Explains that discussed questions can look worse because difficulty lowers correctness and raises discussion probability.</t>
  </si>
  <si>
    <t>Great link to your main experiment.</t>
  </si>
  <si>
    <t>OQ04</t>
  </si>
  <si>
    <t>Randomization and DAGs</t>
  </si>
  <si>
    <t>Draw the analogous DAG for Round 2 when questions are randomly selected for discussion. What arrow or back-door path is removed by randomization?</t>
  </si>
  <si>
    <t>Random assignment node causes Discussion; Difficulty no longer causes Discussion if randomization is implemented correctly; the back-door path Discussion &lt;- Difficulty -&gt; Correctness is blocked/absent by design.</t>
  </si>
  <si>
    <t>Round 2 setup check.</t>
  </si>
  <si>
    <t>OQ05</t>
  </si>
  <si>
    <t>Effect heterogeneity</t>
  </si>
  <si>
    <t>Suppose peer discussion helps on easy questions, helps a little on medium questions, and barely helps on very hard questions. How could that affect the Round 1 and Round 2 estimates?</t>
  </si>
  <si>
    <t>Mentions treatment-effect heterogeneity by difficulty; Round 1 may overrepresent hard questions among discussed questions; Round 2 averages over the randomized mix of selected questions; estimand depends on question distribution.</t>
  </si>
  <si>
    <t>Hard discussion after results.</t>
  </si>
  <si>
    <t>OQ06</t>
  </si>
  <si>
    <t>SUTVA / interference</t>
  </si>
  <si>
    <t>Where might SUTVA or no interference fail in this classroom experiment?</t>
  </si>
  <si>
    <t>Mentions spillovers between questions or students; peers may reveal reasoning for non-selected questions; one student's treatment can affect another student's outcome; multiple versions of 'discussion' such as 1 vs 2 peers or high- vs low-quality discussion.</t>
  </si>
  <si>
    <t>Useful for connecting Day 1 assumptions.</t>
  </si>
  <si>
    <t>OQ07</t>
  </si>
  <si>
    <t>Analysis plan</t>
  </si>
  <si>
    <t>Propose a simple analysis for estimating the effect of peer discussion using the Round 2 data. What would you compare, and what would you report?</t>
  </si>
  <si>
    <t>Compare mean correctness for randomly assigned discussion vs no discussion questions; report difference in means/percentage points, with uncertainty if enough data; optionally stratify by difficulty as pre-specified, but randomization is the key.</t>
  </si>
  <si>
    <t>Can be used as a mini-practical prompt.</t>
  </si>
  <si>
    <t>OQ08</t>
  </si>
  <si>
    <t>Conditioning and selection</t>
  </si>
  <si>
    <t>The instructor only analyzes questions that at least one student chose to discuss in Round 1. Why can this selected subset be problematic?</t>
  </si>
  <si>
    <t>Recognizes selection on a variable related to difficulty, uncertainty, and possibly outcome; selected subset is not representative of all questions; conditioning on selection can distort associations; should distinguish this from the randomized Round 2 design.</t>
  </si>
  <si>
    <t>Advanced; good for peer discussion.</t>
  </si>
  <si>
    <t>OQ09</t>
  </si>
  <si>
    <t>Consistency / treatment versions</t>
  </si>
  <si>
    <t>In Round 2, some students discuss with one peer and others with two peers; some peers are more knowledgeable than others. Which causal assumption does this threaten, and how could you redesign the intervention?</t>
  </si>
  <si>
    <t>Consistency/well-defined treatment versions; peer discussion is not a single treatment if versions have different effects. Redesign by defining treatment versions explicitly, randomizing number/type of peers, or changing estimand.</t>
  </si>
  <si>
    <t>Advanced Day 1 connection.</t>
  </si>
  <si>
    <t>OQ10</t>
  </si>
  <si>
    <t>Target trial thinking</t>
  </si>
  <si>
    <t>Formulate the classroom experiment as a target trial: units, treatment strategies, outcome, assignment mechanism, and estimand.</t>
  </si>
  <si>
    <t>Units could be student-question pairs; treatment strategies are discussion vs no discussion under defined rules; outcome is correctness after update; assignment is random in Round 2; estimand is average effect over the eligible student-question population.</t>
  </si>
  <si>
    <t>Good capstone prompt.</t>
  </si>
  <si>
    <t>OQ11</t>
  </si>
  <si>
    <t>Confounder vs mediator</t>
  </si>
  <si>
    <t>Explain why pregnancy risk in the delivery example and bed rest in the hernia example should lead to different adjustment decisions.</t>
  </si>
  <si>
    <t>Pregnancy risk is a common cause of delivery location and neonatal outcome, so adjust for it. Bed rest is caused by recovery location and affects recovery, so it is a mediator; do not adjust for it when estimating the total effect.</t>
  </si>
  <si>
    <t>Directly tied to day-2 examples.</t>
  </si>
  <si>
    <t>OQ12</t>
  </si>
  <si>
    <t>Identification vs estimation</t>
  </si>
  <si>
    <t>Separate the identification question from the estimation question for the peer-discussion experiment.</t>
  </si>
  <si>
    <t>Identification: under what assumptions/design can the causal effect be learned, e.g., randomization/exchangeability, SUTVA, positivity. Estimation: how to calculate the effect from finite data, e.g., difference in means, standard errors, stratification.</t>
  </si>
  <si>
    <t>Good closing/opening bridge.</t>
  </si>
  <si>
    <t>Source / alignment</t>
  </si>
  <si>
    <t>Details</t>
  </si>
  <si>
    <t>lecture_day1.pdf</t>
  </si>
  <si>
    <t>Used for potential outcomes, factual/counterfactual outcomes, ITE/ATE, observing vs intervening, exchangeability, conditional exchangeability, consistency, no interference/SUTVA, positivity, stratification, matching, and propensity scores.</t>
  </si>
  <si>
    <t>lec1a.qmd</t>
  </si>
  <si>
    <t>Used for DAG introduction, hospital-delivery and hernia motivating examples, DAG definitions, fork/chain/collider patterns, publication collider, and non-parametric interpretation of DAGs.</t>
  </si>
  <si>
    <t>Notation</t>
  </si>
  <si>
    <t>Text arrows use X -&gt; Y for a directed causal edge and X &lt;- Z -&gt; Y for a common-cause/back-door path. Y^1 and Y^0 denote potential outcomes under treatment and control.</t>
  </si>
  <si>
    <t>Instructor caution</t>
  </si>
  <si>
    <t>The workbook contains answer keys. Use the 'Core 36 forms' sheet for copying student-facing questions, not for direct distribution as-is.</t>
  </si>
  <si>
    <t>In a randomized experiment, a difference in mean outcomes between randomly assigned treated and non-treated patients is used as an ATE estimate mainly because randomization makes the groups exchangeable in expectation.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</si>
</sst>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0F2F1"/>
      </patternFill>
    </fill>
    <fill>
      <patternFill patternType="solid">
        <fgColor rgb="FF115E59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1">
    <xf numFmtId="0" fontId="0" fillId="0" borderId="0" xfId="0" applyBorder="1"/>
    <xf numFmtId="0" fontId="2" fillId="3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3" fillId="4" borderId="0" xfId="0" applyFont="1" applyFill="1" applyBorder="1" applyAlignment="1">
      <alignment horizontal="center"/>
    </xf>
    <xf numFmtId="0" fontId="2" fillId="5" borderId="0" xfId="0" applyFont="1" applyFill="1" applyBorder="1"/>
    <xf numFmtId="0" fontId="3" fillId="2" borderId="0" xfId="0" applyFont="1" applyFill="1" applyBorder="1"/>
    <xf numFmtId="0" fontId="3" fillId="2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 wrapText="1"/>
    </xf>
    <xf numFmtId="0" fontId="3" fillId="2" borderId="1" xfId="0" applyFont="1" applyFill="1"/>
    <xf numFmtId="0" fontId="0" fillId="0" borderId="1" xfId="0"/>
    <xf numFmtId="0" fontId="1" fillId="2" borderId="1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erministicBank" displayName="DeterministicBank" ref="A1:Q49">
  <tableColumns count="17">
    <tableColumn id="1" xr3:uid="{00000000-0010-0000-0000-000001000000}" name="ID"/>
    <tableColumn id="2" xr3:uid="{00000000-0010-0000-0000-000002000000}" name="Use"/>
    <tableColumn id="3" xr3:uid="{00000000-0010-0000-0000-000003000000}" name="Round"/>
    <tableColumn id="4" xr3:uid="{00000000-0010-0000-0000-000004000000}" name="Student form"/>
    <tableColumn id="5" xr3:uid="{00000000-0010-0000-0000-000005000000}" name="Slot"/>
    <tableColumn id="6" xr3:uid="{00000000-0010-0000-0000-000006000000}" name="Difficulty"/>
    <tableColumn id="7" xr3:uid="{00000000-0010-0000-0000-000007000000}" name="Band"/>
    <tableColumn id="8" xr3:uid="{00000000-0010-0000-0000-000008000000}" name="Topic"/>
    <tableColumn id="9" xr3:uid="{00000000-0010-0000-0000-000009000000}" name="Type"/>
    <tableColumn id="10" xr3:uid="{00000000-0010-0000-0000-00000A000000}" name="Question"/>
    <tableColumn id="11" xr3:uid="{00000000-0010-0000-0000-00000B000000}" name="Option A"/>
    <tableColumn id="12" xr3:uid="{00000000-0010-0000-0000-00000C000000}" name="Option B"/>
    <tableColumn id="13" xr3:uid="{00000000-0010-0000-0000-00000D000000}" name="Option C"/>
    <tableColumn id="14" xr3:uid="{00000000-0010-0000-0000-00000E000000}" name="Option D"/>
    <tableColumn id="15" xr3:uid="{00000000-0010-0000-0000-00000F000000}" name="Correct answer"/>
    <tableColumn id="16" xr3:uid="{00000000-0010-0000-0000-000010000000}" name="Brief rationale / grading note"/>
    <tableColumn id="17" xr3:uid="{00000000-0010-0000-0000-000011000000}" name="Instructor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reForms" displayName="CoreForms" ref="A1:M37">
  <tableColumns count="13">
    <tableColumn id="1" xr3:uid="{00000000-0010-0000-0100-000001000000}" name="Round"/>
    <tableColumn id="2" xr3:uid="{00000000-0010-0000-0100-000002000000}" name="Student form"/>
    <tableColumn id="3" xr3:uid="{00000000-0010-0000-0100-000003000000}" name="Slot"/>
    <tableColumn id="4" xr3:uid="{00000000-0010-0000-0100-000004000000}" name="ID"/>
    <tableColumn id="5" xr3:uid="{00000000-0010-0000-0100-000005000000}" name="Difficulty"/>
    <tableColumn id="6" xr3:uid="{00000000-0010-0000-0100-000006000000}" name="Band"/>
    <tableColumn id="7" xr3:uid="{00000000-0010-0000-0100-000007000000}" name="Topic"/>
    <tableColumn id="8" xr3:uid="{00000000-0010-0000-0100-000008000000}" name="Type"/>
    <tableColumn id="9" xr3:uid="{00000000-0010-0000-0100-000009000000}" name="Question"/>
    <tableColumn id="10" xr3:uid="{00000000-0010-0000-0100-00000A000000}" name="Option A"/>
    <tableColumn id="11" xr3:uid="{00000000-0010-0000-0100-00000B000000}" name="Option B"/>
    <tableColumn id="12" xr3:uid="{00000000-0010-0000-0100-00000C000000}" name="Option C"/>
    <tableColumn id="13" xr3:uid="{00000000-0010-0000-0100-00000D000000}" name="Option 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OpenPrompts" displayName="OpenPrompts" ref="A1:G13">
  <tableColumns count="7">
    <tableColumn id="1" xr3:uid="{00000000-0010-0000-0200-000001000000}" name="ID"/>
    <tableColumn id="2" xr3:uid="{00000000-0010-0000-0200-000002000000}" name="Difficulty"/>
    <tableColumn id="3" xr3:uid="{00000000-0010-0000-0200-000003000000}" name="Band"/>
    <tableColumn id="4" xr3:uid="{00000000-0010-0000-0200-000004000000}" name="Topic"/>
    <tableColumn id="5" xr3:uid="{00000000-0010-0000-0200-000005000000}" name="Open prompt"/>
    <tableColumn id="6" xr3:uid="{00000000-0010-0000-0200-000006000000}" name="Strong answer includes / rubric"/>
    <tableColumn id="7" xr3:uid="{00000000-0010-0000-0200-000007000000}" name="Suggested 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opLeftCell="A12" zoomScale="158" workbookViewId="0">
      <selection sqref="A1:H1"/>
    </sheetView>
  </sheetViews>
  <sheetFormatPr baseColWidth="10" defaultColWidth="8.83203125" defaultRowHeight="15" x14ac:dyDescent="0.2"/>
  <cols>
    <col min="1" max="1" width="24" customWidth="1"/>
    <col min="2" max="2" width="80" customWidth="1"/>
    <col min="3" max="5" width="16" customWidth="1"/>
  </cols>
  <sheetData>
    <row r="1" spans="1:8" ht="28" customHeight="1" x14ac:dyDescent="0.2">
      <c r="A1" s="10" t="s">
        <v>0</v>
      </c>
      <c r="B1" s="9"/>
      <c r="C1" s="9"/>
      <c r="D1" s="9"/>
      <c r="E1" s="9"/>
      <c r="F1" s="9"/>
      <c r="G1" s="9"/>
      <c r="H1" s="9"/>
    </row>
    <row r="3" spans="1:8" ht="16" x14ac:dyDescent="0.2">
      <c r="A3" s="1" t="s">
        <v>1</v>
      </c>
      <c r="B3" s="2" t="s">
        <v>2</v>
      </c>
    </row>
    <row r="4" spans="1:8" ht="32" x14ac:dyDescent="0.2">
      <c r="A4" s="1" t="s">
        <v>3</v>
      </c>
      <c r="B4" s="2" t="s">
        <v>4</v>
      </c>
    </row>
    <row r="5" spans="1:8" ht="32" x14ac:dyDescent="0.2">
      <c r="A5" s="1" t="s">
        <v>5</v>
      </c>
      <c r="B5" s="2" t="s">
        <v>6</v>
      </c>
    </row>
    <row r="6" spans="1:8" ht="32" x14ac:dyDescent="0.2">
      <c r="A6" s="1" t="s">
        <v>7</v>
      </c>
      <c r="B6" s="2" t="s">
        <v>8</v>
      </c>
    </row>
    <row r="7" spans="1:8" ht="32" x14ac:dyDescent="0.2">
      <c r="A7" s="1" t="s">
        <v>9</v>
      </c>
      <c r="B7" s="2" t="s">
        <v>10</v>
      </c>
    </row>
    <row r="10" spans="1:8" x14ac:dyDescent="0.2">
      <c r="A10" s="3" t="s">
        <v>11</v>
      </c>
      <c r="B10" s="3" t="s">
        <v>12</v>
      </c>
      <c r="C10" s="3" t="s">
        <v>13</v>
      </c>
      <c r="D10" s="3" t="s">
        <v>14</v>
      </c>
      <c r="E10" s="3" t="s">
        <v>15</v>
      </c>
    </row>
    <row r="11" spans="1:8" x14ac:dyDescent="0.2">
      <c r="A11">
        <v>1</v>
      </c>
      <c r="B11" t="s">
        <v>16</v>
      </c>
      <c r="C11">
        <f>COUNTIF('Deterministic bank'!$F:$F,A11)</f>
        <v>0</v>
      </c>
      <c r="D11">
        <f>COUNTIFS('Deterministic bank'!$F:$F,A11,'Deterministic bank'!$B:$B,"Core 36")</f>
        <v>0</v>
      </c>
      <c r="E11">
        <f>COUNTIFS('Deterministic bank'!$F:$F,A11,'Deterministic bank'!$B:$B,"Reserve")</f>
        <v>0</v>
      </c>
    </row>
    <row r="12" spans="1:8" x14ac:dyDescent="0.2">
      <c r="A12">
        <v>2</v>
      </c>
      <c r="B12" t="s">
        <v>16</v>
      </c>
      <c r="C12">
        <f>COUNTIF('Deterministic bank'!$F:$F,A12)</f>
        <v>8</v>
      </c>
      <c r="D12">
        <f>COUNTIFS('Deterministic bank'!$F:$F,A12,'Deterministic bank'!$B:$B,"Core 36")</f>
        <v>6</v>
      </c>
      <c r="E12">
        <f>COUNTIFS('Deterministic bank'!$F:$F,A12,'Deterministic bank'!$B:$B,"Reserve")</f>
        <v>2</v>
      </c>
    </row>
    <row r="13" spans="1:8" x14ac:dyDescent="0.2">
      <c r="A13">
        <v>3</v>
      </c>
      <c r="B13" t="s">
        <v>17</v>
      </c>
      <c r="C13">
        <f>COUNTIF('Deterministic bank'!$F:$F,A13)</f>
        <v>8</v>
      </c>
      <c r="D13">
        <f>COUNTIFS('Deterministic bank'!$F:$F,A13,'Deterministic bank'!$B:$B,"Core 36")</f>
        <v>6</v>
      </c>
      <c r="E13">
        <f>COUNTIFS('Deterministic bank'!$F:$F,A13,'Deterministic bank'!$B:$B,"Reserve")</f>
        <v>2</v>
      </c>
    </row>
    <row r="14" spans="1:8" x14ac:dyDescent="0.2">
      <c r="A14">
        <v>4</v>
      </c>
      <c r="B14" t="s">
        <v>18</v>
      </c>
      <c r="C14">
        <f>COUNTIF('Deterministic bank'!$F:$F,A14)</f>
        <v>16</v>
      </c>
      <c r="D14">
        <f>COUNTIFS('Deterministic bank'!$F:$F,A14,'Deterministic bank'!$B:$B,"Core 36")</f>
        <v>12</v>
      </c>
      <c r="E14">
        <f>COUNTIFS('Deterministic bank'!$F:$F,A14,'Deterministic bank'!$B:$B,"Reserve")</f>
        <v>4</v>
      </c>
    </row>
    <row r="15" spans="1:8" x14ac:dyDescent="0.2">
      <c r="A15">
        <v>5</v>
      </c>
      <c r="B15" t="s">
        <v>18</v>
      </c>
      <c r="C15">
        <f>COUNTIF('Deterministic bank'!$F:$F,A15)</f>
        <v>8</v>
      </c>
      <c r="D15">
        <f>COUNTIFS('Deterministic bank'!$F:$F,A15,'Deterministic bank'!$B:$B,"Core 36")</f>
        <v>6</v>
      </c>
      <c r="E15">
        <f>COUNTIFS('Deterministic bank'!$F:$F,A15,'Deterministic bank'!$B:$B,"Reserve")</f>
        <v>2</v>
      </c>
    </row>
    <row r="16" spans="1:8" x14ac:dyDescent="0.2">
      <c r="A16" s="4" t="s">
        <v>19</v>
      </c>
      <c r="B16" s="4"/>
      <c r="C16" s="4">
        <f>SUM(C11:C15)</f>
        <v>40</v>
      </c>
      <c r="D16" s="4">
        <f>SUM(D11:D15)</f>
        <v>30</v>
      </c>
      <c r="E16" s="4">
        <f>SUM(E11:E15)</f>
        <v>10</v>
      </c>
    </row>
    <row r="19" spans="1:8" x14ac:dyDescent="0.2">
      <c r="A19" s="8" t="s">
        <v>20</v>
      </c>
      <c r="B19" s="9"/>
      <c r="C19" s="9"/>
      <c r="D19" s="9"/>
      <c r="E19" s="9"/>
      <c r="F19" s="9"/>
      <c r="G19" s="9"/>
      <c r="H19" s="9"/>
    </row>
    <row r="20" spans="1:8" ht="36" customHeight="1" x14ac:dyDescent="0.2">
      <c r="A20" s="2" t="s">
        <v>21</v>
      </c>
      <c r="B20" s="2"/>
      <c r="C20" s="2"/>
      <c r="D20" s="2"/>
      <c r="E20" s="2"/>
      <c r="F20" s="2"/>
      <c r="G20" s="2"/>
      <c r="H20" s="2"/>
    </row>
    <row r="21" spans="1:8" ht="36" customHeight="1" x14ac:dyDescent="0.2">
      <c r="A21" s="2" t="s">
        <v>22</v>
      </c>
      <c r="B21" s="2"/>
      <c r="C21" s="2"/>
      <c r="D21" s="2"/>
      <c r="E21" s="2"/>
      <c r="F21" s="2"/>
      <c r="G21" s="2"/>
      <c r="H21" s="2"/>
    </row>
    <row r="22" spans="1:8" ht="36" customHeight="1" x14ac:dyDescent="0.2">
      <c r="A22" s="2" t="s">
        <v>23</v>
      </c>
      <c r="B22" s="2"/>
      <c r="C22" s="2"/>
      <c r="D22" s="2"/>
      <c r="E22" s="2"/>
      <c r="F22" s="2"/>
      <c r="G22" s="2"/>
      <c r="H22" s="2"/>
    </row>
    <row r="23" spans="1:8" ht="36" customHeight="1" x14ac:dyDescent="0.2">
      <c r="A23" s="2" t="s">
        <v>24</v>
      </c>
      <c r="B23" s="2"/>
      <c r="C23" s="2"/>
      <c r="D23" s="2"/>
      <c r="E23" s="2"/>
      <c r="F23" s="2"/>
      <c r="G23" s="2"/>
      <c r="H23" s="2"/>
    </row>
  </sheetData>
  <mergeCells count="2">
    <mergeCell ref="A19:H19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5"/>
  <sheetViews>
    <sheetView topLeftCell="I8" zoomScale="200" workbookViewId="0">
      <selection activeCell="J10" sqref="J10"/>
    </sheetView>
  </sheetViews>
  <sheetFormatPr baseColWidth="10" defaultColWidth="8.83203125" defaultRowHeight="15" x14ac:dyDescent="0.2"/>
  <cols>
    <col min="1" max="1" width="8" customWidth="1"/>
    <col min="2" max="2" width="12" customWidth="1"/>
    <col min="3" max="3" width="10" customWidth="1"/>
    <col min="4" max="4" width="12" customWidth="1"/>
    <col min="5" max="5" width="7" customWidth="1"/>
    <col min="6" max="7" width="10" customWidth="1"/>
    <col min="8" max="8" width="22" customWidth="1"/>
    <col min="9" max="9" width="12" customWidth="1"/>
    <col min="10" max="10" width="60" customWidth="1"/>
    <col min="11" max="14" width="32" customWidth="1"/>
    <col min="15" max="15" width="16" customWidth="1"/>
    <col min="16" max="16" width="56" customWidth="1"/>
    <col min="17" max="17" width="38" customWidth="1"/>
  </cols>
  <sheetData>
    <row r="1" spans="1:17" ht="16" x14ac:dyDescent="0.2">
      <c r="A1" s="6" t="s">
        <v>25</v>
      </c>
      <c r="B1" s="6" t="s">
        <v>26</v>
      </c>
      <c r="C1" s="6" t="s">
        <v>27</v>
      </c>
      <c r="D1" s="6" t="s">
        <v>28</v>
      </c>
      <c r="E1" s="6" t="s">
        <v>29</v>
      </c>
      <c r="F1" s="6" t="s">
        <v>11</v>
      </c>
      <c r="G1" s="6" t="s">
        <v>12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  <c r="M1" s="6" t="s">
        <v>35</v>
      </c>
      <c r="N1" s="6" t="s">
        <v>36</v>
      </c>
      <c r="O1" s="6" t="s">
        <v>37</v>
      </c>
      <c r="P1" s="6" t="s">
        <v>38</v>
      </c>
      <c r="Q1" s="6" t="s">
        <v>39</v>
      </c>
    </row>
    <row r="2" spans="1:17" ht="60" customHeight="1" x14ac:dyDescent="0.2">
      <c r="A2" s="7" t="s">
        <v>40</v>
      </c>
      <c r="B2" s="7" t="s">
        <v>14</v>
      </c>
      <c r="C2" s="7" t="s">
        <v>41</v>
      </c>
      <c r="D2" s="7" t="s">
        <v>42</v>
      </c>
      <c r="E2" s="7">
        <v>1</v>
      </c>
      <c r="F2" s="7">
        <v>2</v>
      </c>
      <c r="G2" s="7" t="s">
        <v>43</v>
      </c>
      <c r="H2" s="7" t="s">
        <v>44</v>
      </c>
      <c r="I2" s="7" t="s">
        <v>45</v>
      </c>
      <c r="J2" s="7" t="s">
        <v>46</v>
      </c>
      <c r="K2" s="7" t="s">
        <v>47</v>
      </c>
      <c r="L2" s="7" t="s">
        <v>48</v>
      </c>
      <c r="M2" s="7" t="s">
        <v>49</v>
      </c>
      <c r="N2" s="7" t="s">
        <v>50</v>
      </c>
      <c r="O2" s="7" t="s">
        <v>51</v>
      </c>
      <c r="P2" s="7" t="s">
        <v>52</v>
      </c>
      <c r="Q2" s="7" t="s">
        <v>53</v>
      </c>
    </row>
    <row r="3" spans="1:17" ht="60" customHeight="1" x14ac:dyDescent="0.2">
      <c r="A3" s="7" t="s">
        <v>54</v>
      </c>
      <c r="B3" s="7" t="s">
        <v>14</v>
      </c>
      <c r="C3" s="7" t="s">
        <v>41</v>
      </c>
      <c r="D3" s="7" t="s">
        <v>42</v>
      </c>
      <c r="E3" s="7">
        <v>2</v>
      </c>
      <c r="F3" s="7">
        <v>3</v>
      </c>
      <c r="G3" s="7" t="s">
        <v>55</v>
      </c>
      <c r="H3" s="7" t="s">
        <v>44</v>
      </c>
      <c r="I3" s="7" t="s">
        <v>56</v>
      </c>
      <c r="J3" s="7" t="s">
        <v>57</v>
      </c>
      <c r="K3" s="7" t="s">
        <v>58</v>
      </c>
      <c r="L3" s="7" t="s">
        <v>59</v>
      </c>
      <c r="M3" s="7"/>
      <c r="N3" s="7"/>
      <c r="O3" s="7" t="s">
        <v>60</v>
      </c>
      <c r="P3" s="7" t="s">
        <v>61</v>
      </c>
      <c r="Q3" s="7" t="s">
        <v>62</v>
      </c>
    </row>
    <row r="4" spans="1:17" ht="60" customHeight="1" x14ac:dyDescent="0.2">
      <c r="A4" s="7" t="s">
        <v>63</v>
      </c>
      <c r="B4" s="7" t="s">
        <v>14</v>
      </c>
      <c r="C4" s="7" t="s">
        <v>41</v>
      </c>
      <c r="D4" s="7" t="s">
        <v>42</v>
      </c>
      <c r="E4" s="7">
        <v>3</v>
      </c>
      <c r="F4" s="7">
        <v>4</v>
      </c>
      <c r="G4" s="7" t="s">
        <v>64</v>
      </c>
      <c r="H4" s="7" t="s">
        <v>44</v>
      </c>
      <c r="I4" s="7" t="s">
        <v>65</v>
      </c>
      <c r="J4" s="7" t="s">
        <v>66</v>
      </c>
      <c r="K4" s="7"/>
      <c r="L4" s="7"/>
      <c r="M4" s="7"/>
      <c r="N4" s="7"/>
      <c r="O4" s="7" t="s">
        <v>67</v>
      </c>
      <c r="P4" s="7" t="s">
        <v>68</v>
      </c>
      <c r="Q4" s="7" t="s">
        <v>69</v>
      </c>
    </row>
    <row r="5" spans="1:17" ht="60" customHeight="1" x14ac:dyDescent="0.2">
      <c r="A5" s="7" t="s">
        <v>70</v>
      </c>
      <c r="B5" s="7" t="s">
        <v>14</v>
      </c>
      <c r="C5" s="7" t="s">
        <v>41</v>
      </c>
      <c r="D5" s="7" t="s">
        <v>42</v>
      </c>
      <c r="E5" s="7">
        <v>4</v>
      </c>
      <c r="F5" s="7">
        <v>4</v>
      </c>
      <c r="G5" s="7" t="s">
        <v>64</v>
      </c>
      <c r="H5" s="7" t="s">
        <v>71</v>
      </c>
      <c r="I5" s="7" t="s">
        <v>45</v>
      </c>
      <c r="J5" s="7" t="s">
        <v>72</v>
      </c>
      <c r="K5" s="7" t="s">
        <v>73</v>
      </c>
      <c r="L5" s="7" t="s">
        <v>74</v>
      </c>
      <c r="M5" s="7" t="s">
        <v>75</v>
      </c>
      <c r="N5" s="7" t="s">
        <v>76</v>
      </c>
      <c r="O5" s="7" t="s">
        <v>51</v>
      </c>
      <c r="P5" s="7" t="s">
        <v>77</v>
      </c>
      <c r="Q5" s="7" t="s">
        <v>78</v>
      </c>
    </row>
    <row r="6" spans="1:17" ht="60" customHeight="1" x14ac:dyDescent="0.2">
      <c r="A6" s="7" t="s">
        <v>79</v>
      </c>
      <c r="B6" s="7" t="s">
        <v>14</v>
      </c>
      <c r="C6" s="7" t="s">
        <v>41</v>
      </c>
      <c r="D6" s="7" t="s">
        <v>42</v>
      </c>
      <c r="E6" s="7">
        <v>5</v>
      </c>
      <c r="F6" s="7">
        <v>5</v>
      </c>
      <c r="G6" s="7" t="s">
        <v>80</v>
      </c>
      <c r="H6" s="7" t="s">
        <v>81</v>
      </c>
      <c r="I6" s="7" t="s">
        <v>45</v>
      </c>
      <c r="J6" s="7" t="s">
        <v>82</v>
      </c>
      <c r="K6" s="7" t="s">
        <v>83</v>
      </c>
      <c r="L6" s="7" t="s">
        <v>84</v>
      </c>
      <c r="M6" s="7" t="s">
        <v>85</v>
      </c>
      <c r="N6" s="7" t="s">
        <v>86</v>
      </c>
      <c r="O6" s="7" t="s">
        <v>87</v>
      </c>
      <c r="P6" s="7" t="s">
        <v>88</v>
      </c>
      <c r="Q6" s="7" t="s">
        <v>89</v>
      </c>
    </row>
    <row r="7" spans="1:17" ht="60" customHeight="1" x14ac:dyDescent="0.2">
      <c r="A7" s="7" t="s">
        <v>90</v>
      </c>
      <c r="B7" s="7" t="s">
        <v>14</v>
      </c>
      <c r="C7" s="7" t="s">
        <v>41</v>
      </c>
      <c r="D7" s="7" t="s">
        <v>42</v>
      </c>
      <c r="E7" s="7">
        <v>6</v>
      </c>
      <c r="F7" s="7">
        <v>6</v>
      </c>
      <c r="G7" s="7" t="s">
        <v>91</v>
      </c>
      <c r="H7" s="7" t="s">
        <v>92</v>
      </c>
      <c r="I7" s="7" t="s">
        <v>45</v>
      </c>
      <c r="J7" s="7" t="s">
        <v>93</v>
      </c>
      <c r="K7" s="7" t="s">
        <v>94</v>
      </c>
      <c r="L7" s="7" t="s">
        <v>95</v>
      </c>
      <c r="M7" s="7" t="s">
        <v>96</v>
      </c>
      <c r="N7" s="7" t="s">
        <v>97</v>
      </c>
      <c r="O7" s="7" t="s">
        <v>51</v>
      </c>
      <c r="P7" s="7" t="s">
        <v>98</v>
      </c>
      <c r="Q7" s="7" t="s">
        <v>99</v>
      </c>
    </row>
    <row r="8" spans="1:17" ht="60" customHeight="1" x14ac:dyDescent="0.2">
      <c r="A8" s="7" t="s">
        <v>100</v>
      </c>
      <c r="B8" s="7" t="s">
        <v>14</v>
      </c>
      <c r="C8" s="7" t="s">
        <v>41</v>
      </c>
      <c r="D8" s="7" t="s">
        <v>101</v>
      </c>
      <c r="E8" s="7">
        <v>1</v>
      </c>
      <c r="F8" s="7">
        <v>2</v>
      </c>
      <c r="G8" s="7" t="s">
        <v>43</v>
      </c>
      <c r="H8" s="7" t="s">
        <v>102</v>
      </c>
      <c r="I8" s="7" t="s">
        <v>45</v>
      </c>
      <c r="J8" s="7" t="s">
        <v>103</v>
      </c>
      <c r="K8" s="7" t="s">
        <v>104</v>
      </c>
      <c r="L8" s="7" t="s">
        <v>105</v>
      </c>
      <c r="M8" s="7" t="s">
        <v>106</v>
      </c>
      <c r="N8" s="7" t="s">
        <v>107</v>
      </c>
      <c r="O8" s="7" t="s">
        <v>60</v>
      </c>
      <c r="P8" s="7" t="s">
        <v>108</v>
      </c>
      <c r="Q8" s="7" t="s">
        <v>109</v>
      </c>
    </row>
    <row r="9" spans="1:17" ht="60" customHeight="1" x14ac:dyDescent="0.2">
      <c r="A9" s="7" t="s">
        <v>110</v>
      </c>
      <c r="B9" s="7" t="s">
        <v>14</v>
      </c>
      <c r="C9" s="7" t="s">
        <v>41</v>
      </c>
      <c r="D9" s="7" t="s">
        <v>101</v>
      </c>
      <c r="E9" s="7">
        <v>2</v>
      </c>
      <c r="F9" s="7">
        <v>3</v>
      </c>
      <c r="G9" s="7" t="s">
        <v>55</v>
      </c>
      <c r="H9" s="7" t="s">
        <v>111</v>
      </c>
      <c r="I9" s="7" t="s">
        <v>45</v>
      </c>
      <c r="J9" s="7" t="s">
        <v>112</v>
      </c>
      <c r="K9" s="7" t="s">
        <v>113</v>
      </c>
      <c r="L9" s="7" t="s">
        <v>114</v>
      </c>
      <c r="M9" s="7" t="s">
        <v>115</v>
      </c>
      <c r="N9" s="7" t="s">
        <v>116</v>
      </c>
      <c r="O9" s="7" t="s">
        <v>51</v>
      </c>
      <c r="P9" s="7" t="s">
        <v>117</v>
      </c>
      <c r="Q9" s="7"/>
    </row>
    <row r="10" spans="1:17" ht="60" customHeight="1" x14ac:dyDescent="0.2">
      <c r="A10" s="7" t="s">
        <v>118</v>
      </c>
      <c r="B10" s="7" t="s">
        <v>14</v>
      </c>
      <c r="C10" s="7" t="s">
        <v>41</v>
      </c>
      <c r="D10" s="7" t="s">
        <v>101</v>
      </c>
      <c r="E10" s="7">
        <v>3</v>
      </c>
      <c r="F10" s="7">
        <v>4</v>
      </c>
      <c r="G10" s="7" t="s">
        <v>64</v>
      </c>
      <c r="H10" s="7" t="s">
        <v>119</v>
      </c>
      <c r="I10" s="7" t="s">
        <v>56</v>
      </c>
      <c r="J10" s="7" t="s">
        <v>543</v>
      </c>
      <c r="K10" s="7" t="s">
        <v>58</v>
      </c>
      <c r="L10" s="7" t="s">
        <v>59</v>
      </c>
      <c r="M10" s="7"/>
      <c r="N10" s="7"/>
      <c r="O10" s="7" t="s">
        <v>60</v>
      </c>
      <c r="P10" s="7" t="s">
        <v>120</v>
      </c>
      <c r="Q10" s="7" t="s">
        <v>121</v>
      </c>
    </row>
    <row r="11" spans="1:17" ht="60" customHeight="1" x14ac:dyDescent="0.2">
      <c r="A11" s="7" t="s">
        <v>122</v>
      </c>
      <c r="B11" s="7" t="s">
        <v>14</v>
      </c>
      <c r="C11" s="7" t="s">
        <v>41</v>
      </c>
      <c r="D11" s="7" t="s">
        <v>101</v>
      </c>
      <c r="E11" s="7">
        <v>4</v>
      </c>
      <c r="F11" s="7">
        <v>4</v>
      </c>
      <c r="G11" s="7" t="s">
        <v>64</v>
      </c>
      <c r="H11" s="7" t="s">
        <v>123</v>
      </c>
      <c r="I11" s="7" t="s">
        <v>45</v>
      </c>
      <c r="J11" s="7" t="s">
        <v>124</v>
      </c>
      <c r="K11" s="7" t="s">
        <v>125</v>
      </c>
      <c r="L11" s="7" t="s">
        <v>126</v>
      </c>
      <c r="M11" s="7" t="s">
        <v>127</v>
      </c>
      <c r="N11" s="7" t="s">
        <v>128</v>
      </c>
      <c r="O11" s="7" t="s">
        <v>51</v>
      </c>
      <c r="P11" s="7" t="s">
        <v>129</v>
      </c>
      <c r="Q11" s="7" t="s">
        <v>130</v>
      </c>
    </row>
    <row r="12" spans="1:17" ht="60" customHeight="1" x14ac:dyDescent="0.2">
      <c r="A12" s="7" t="s">
        <v>131</v>
      </c>
      <c r="B12" s="7" t="s">
        <v>14</v>
      </c>
      <c r="C12" s="7" t="s">
        <v>41</v>
      </c>
      <c r="D12" s="7" t="s">
        <v>101</v>
      </c>
      <c r="E12" s="7">
        <v>5</v>
      </c>
      <c r="F12" s="7">
        <v>5</v>
      </c>
      <c r="G12" s="7" t="s">
        <v>80</v>
      </c>
      <c r="H12" s="7" t="s">
        <v>132</v>
      </c>
      <c r="I12" s="7" t="s">
        <v>45</v>
      </c>
      <c r="J12" s="7" t="s">
        <v>133</v>
      </c>
      <c r="K12" s="7" t="s">
        <v>134</v>
      </c>
      <c r="L12" s="7" t="s">
        <v>135</v>
      </c>
      <c r="M12" s="7" t="s">
        <v>136</v>
      </c>
      <c r="N12" s="7" t="s">
        <v>137</v>
      </c>
      <c r="O12" s="7" t="s">
        <v>87</v>
      </c>
      <c r="P12" s="7" t="s">
        <v>138</v>
      </c>
      <c r="Q12" s="7" t="s">
        <v>139</v>
      </c>
    </row>
    <row r="13" spans="1:17" ht="60" customHeight="1" x14ac:dyDescent="0.2">
      <c r="A13" s="7" t="s">
        <v>140</v>
      </c>
      <c r="B13" s="7" t="s">
        <v>14</v>
      </c>
      <c r="C13" s="7" t="s">
        <v>41</v>
      </c>
      <c r="D13" s="7" t="s">
        <v>101</v>
      </c>
      <c r="E13" s="7">
        <v>6</v>
      </c>
      <c r="F13" s="7">
        <v>6</v>
      </c>
      <c r="G13" s="7" t="s">
        <v>91</v>
      </c>
      <c r="H13" s="7" t="s">
        <v>141</v>
      </c>
      <c r="I13" s="7" t="s">
        <v>45</v>
      </c>
      <c r="J13" s="7" t="s">
        <v>142</v>
      </c>
      <c r="K13" s="7" t="s">
        <v>143</v>
      </c>
      <c r="L13" s="7" t="s">
        <v>144</v>
      </c>
      <c r="M13" s="7" t="s">
        <v>85</v>
      </c>
      <c r="N13" s="7" t="s">
        <v>145</v>
      </c>
      <c r="O13" s="7" t="s">
        <v>51</v>
      </c>
      <c r="P13" s="7" t="s">
        <v>146</v>
      </c>
      <c r="Q13" s="7" t="s">
        <v>147</v>
      </c>
    </row>
    <row r="14" spans="1:17" ht="60" customHeight="1" x14ac:dyDescent="0.2">
      <c r="A14" s="7" t="s">
        <v>148</v>
      </c>
      <c r="B14" s="7" t="s">
        <v>14</v>
      </c>
      <c r="C14" s="7" t="s">
        <v>41</v>
      </c>
      <c r="D14" s="7" t="s">
        <v>149</v>
      </c>
      <c r="E14" s="7">
        <v>1</v>
      </c>
      <c r="F14" s="7">
        <v>2</v>
      </c>
      <c r="G14" s="7" t="s">
        <v>43</v>
      </c>
      <c r="H14" s="7" t="s">
        <v>44</v>
      </c>
      <c r="I14" s="7" t="s">
        <v>56</v>
      </c>
      <c r="J14" s="7" t="s">
        <v>150</v>
      </c>
      <c r="K14" s="7" t="s">
        <v>58</v>
      </c>
      <c r="L14" s="7" t="s">
        <v>59</v>
      </c>
      <c r="M14" s="7"/>
      <c r="N14" s="7"/>
      <c r="O14" s="7" t="s">
        <v>60</v>
      </c>
      <c r="P14" s="7" t="s">
        <v>151</v>
      </c>
      <c r="Q14" s="7"/>
    </row>
    <row r="15" spans="1:17" ht="60" customHeight="1" x14ac:dyDescent="0.2">
      <c r="A15" s="7" t="s">
        <v>152</v>
      </c>
      <c r="B15" s="7" t="s">
        <v>14</v>
      </c>
      <c r="C15" s="7" t="s">
        <v>41</v>
      </c>
      <c r="D15" s="7" t="s">
        <v>149</v>
      </c>
      <c r="E15" s="7">
        <v>2</v>
      </c>
      <c r="F15" s="7">
        <v>3</v>
      </c>
      <c r="G15" s="7" t="s">
        <v>55</v>
      </c>
      <c r="H15" s="7" t="s">
        <v>153</v>
      </c>
      <c r="I15" s="7" t="s">
        <v>45</v>
      </c>
      <c r="J15" s="7" t="s">
        <v>154</v>
      </c>
      <c r="K15" s="7" t="s">
        <v>155</v>
      </c>
      <c r="L15" s="7" t="s">
        <v>156</v>
      </c>
      <c r="M15" s="7" t="s">
        <v>157</v>
      </c>
      <c r="N15" s="7" t="s">
        <v>158</v>
      </c>
      <c r="O15" s="7" t="s">
        <v>159</v>
      </c>
      <c r="P15" s="7" t="s">
        <v>160</v>
      </c>
      <c r="Q15" s="7"/>
    </row>
    <row r="16" spans="1:17" ht="60" customHeight="1" x14ac:dyDescent="0.2">
      <c r="A16" s="7" t="s">
        <v>161</v>
      </c>
      <c r="B16" s="7" t="s">
        <v>14</v>
      </c>
      <c r="C16" s="7" t="s">
        <v>41</v>
      </c>
      <c r="D16" s="7" t="s">
        <v>149</v>
      </c>
      <c r="E16" s="7">
        <v>3</v>
      </c>
      <c r="F16" s="7">
        <v>4</v>
      </c>
      <c r="G16" s="7" t="s">
        <v>64</v>
      </c>
      <c r="H16" s="7" t="s">
        <v>162</v>
      </c>
      <c r="I16" s="7" t="s">
        <v>45</v>
      </c>
      <c r="J16" s="7" t="s">
        <v>163</v>
      </c>
      <c r="K16" s="7" t="s">
        <v>164</v>
      </c>
      <c r="L16" s="7" t="s">
        <v>165</v>
      </c>
      <c r="M16" s="7" t="s">
        <v>166</v>
      </c>
      <c r="N16" s="7" t="s">
        <v>167</v>
      </c>
      <c r="O16" s="7" t="s">
        <v>87</v>
      </c>
      <c r="P16" s="7" t="s">
        <v>168</v>
      </c>
      <c r="Q16" s="7" t="s">
        <v>169</v>
      </c>
    </row>
    <row r="17" spans="1:17" ht="60" customHeight="1" x14ac:dyDescent="0.2">
      <c r="A17" s="7" t="s">
        <v>170</v>
      </c>
      <c r="B17" s="7" t="s">
        <v>14</v>
      </c>
      <c r="C17" s="7" t="s">
        <v>41</v>
      </c>
      <c r="D17" s="7" t="s">
        <v>149</v>
      </c>
      <c r="E17" s="7">
        <v>4</v>
      </c>
      <c r="F17" s="7">
        <v>4</v>
      </c>
      <c r="G17" s="7" t="s">
        <v>64</v>
      </c>
      <c r="H17" s="7" t="s">
        <v>171</v>
      </c>
      <c r="I17" s="7" t="s">
        <v>45</v>
      </c>
      <c r="J17" s="7" t="s">
        <v>172</v>
      </c>
      <c r="K17" s="7" t="s">
        <v>173</v>
      </c>
      <c r="L17" s="7" t="s">
        <v>174</v>
      </c>
      <c r="M17" s="7" t="s">
        <v>175</v>
      </c>
      <c r="N17" s="7" t="s">
        <v>176</v>
      </c>
      <c r="O17" s="7" t="s">
        <v>60</v>
      </c>
      <c r="P17" s="7" t="s">
        <v>177</v>
      </c>
      <c r="Q17" s="7" t="s">
        <v>178</v>
      </c>
    </row>
    <row r="18" spans="1:17" ht="60" customHeight="1" x14ac:dyDescent="0.2">
      <c r="A18" s="7" t="s">
        <v>179</v>
      </c>
      <c r="B18" s="7" t="s">
        <v>14</v>
      </c>
      <c r="C18" s="7" t="s">
        <v>41</v>
      </c>
      <c r="D18" s="7" t="s">
        <v>149</v>
      </c>
      <c r="E18" s="7">
        <v>5</v>
      </c>
      <c r="F18" s="7">
        <v>5</v>
      </c>
      <c r="G18" s="7" t="s">
        <v>80</v>
      </c>
      <c r="H18" s="7" t="s">
        <v>180</v>
      </c>
      <c r="I18" s="7" t="s">
        <v>45</v>
      </c>
      <c r="J18" s="7" t="s">
        <v>181</v>
      </c>
      <c r="K18" s="7" t="s">
        <v>182</v>
      </c>
      <c r="L18" s="7" t="s">
        <v>84</v>
      </c>
      <c r="M18" s="7" t="s">
        <v>183</v>
      </c>
      <c r="N18" s="7" t="s">
        <v>86</v>
      </c>
      <c r="O18" s="7" t="s">
        <v>87</v>
      </c>
      <c r="P18" s="7" t="s">
        <v>184</v>
      </c>
      <c r="Q18" s="7" t="s">
        <v>185</v>
      </c>
    </row>
    <row r="19" spans="1:17" ht="60" customHeight="1" x14ac:dyDescent="0.2">
      <c r="A19" s="7" t="s">
        <v>186</v>
      </c>
      <c r="B19" s="7" t="s">
        <v>14</v>
      </c>
      <c r="C19" s="7" t="s">
        <v>41</v>
      </c>
      <c r="D19" s="7" t="s">
        <v>149</v>
      </c>
      <c r="E19" s="7">
        <v>6</v>
      </c>
      <c r="F19" s="7">
        <v>6</v>
      </c>
      <c r="G19" s="7" t="s">
        <v>91</v>
      </c>
      <c r="H19" s="7" t="s">
        <v>187</v>
      </c>
      <c r="I19" s="7" t="s">
        <v>45</v>
      </c>
      <c r="J19" s="7" t="s">
        <v>188</v>
      </c>
      <c r="K19" s="7" t="s">
        <v>189</v>
      </c>
      <c r="L19" s="7" t="s">
        <v>190</v>
      </c>
      <c r="M19" s="7" t="s">
        <v>191</v>
      </c>
      <c r="N19" s="7" t="s">
        <v>192</v>
      </c>
      <c r="O19" s="7" t="s">
        <v>159</v>
      </c>
      <c r="P19" s="7" t="s">
        <v>193</v>
      </c>
      <c r="Q19" s="7" t="s">
        <v>194</v>
      </c>
    </row>
    <row r="20" spans="1:17" ht="60" customHeight="1" x14ac:dyDescent="0.2">
      <c r="A20" s="7" t="s">
        <v>195</v>
      </c>
      <c r="B20" s="7" t="s">
        <v>14</v>
      </c>
      <c r="C20" s="7" t="s">
        <v>196</v>
      </c>
      <c r="D20" s="7" t="s">
        <v>42</v>
      </c>
      <c r="E20" s="7">
        <v>1</v>
      </c>
      <c r="F20" s="7">
        <v>2</v>
      </c>
      <c r="G20" s="7" t="s">
        <v>43</v>
      </c>
      <c r="H20" s="7" t="s">
        <v>197</v>
      </c>
      <c r="I20" s="7" t="s">
        <v>45</v>
      </c>
      <c r="J20" s="7" t="s">
        <v>198</v>
      </c>
      <c r="K20" s="7" t="s">
        <v>199</v>
      </c>
      <c r="L20" s="7" t="s">
        <v>200</v>
      </c>
      <c r="M20" s="7" t="s">
        <v>201</v>
      </c>
      <c r="N20" s="7" t="s">
        <v>202</v>
      </c>
      <c r="O20" s="7" t="s">
        <v>87</v>
      </c>
      <c r="P20" s="7" t="s">
        <v>203</v>
      </c>
      <c r="Q20" s="7"/>
    </row>
    <row r="21" spans="1:17" ht="60" customHeight="1" x14ac:dyDescent="0.2">
      <c r="A21" s="7" t="s">
        <v>204</v>
      </c>
      <c r="B21" s="7" t="s">
        <v>14</v>
      </c>
      <c r="C21" s="7" t="s">
        <v>196</v>
      </c>
      <c r="D21" s="7" t="s">
        <v>42</v>
      </c>
      <c r="E21" s="7">
        <v>2</v>
      </c>
      <c r="F21" s="7">
        <v>3</v>
      </c>
      <c r="G21" s="7" t="s">
        <v>55</v>
      </c>
      <c r="H21" s="7" t="s">
        <v>44</v>
      </c>
      <c r="I21" s="7" t="s">
        <v>45</v>
      </c>
      <c r="J21" s="7" t="s">
        <v>205</v>
      </c>
      <c r="K21" s="7" t="s">
        <v>206</v>
      </c>
      <c r="L21" s="7" t="s">
        <v>207</v>
      </c>
      <c r="M21" s="7" t="s">
        <v>208</v>
      </c>
      <c r="N21" s="7" t="s">
        <v>209</v>
      </c>
      <c r="O21" s="7" t="s">
        <v>60</v>
      </c>
      <c r="P21" s="7" t="s">
        <v>210</v>
      </c>
      <c r="Q21" s="7" t="s">
        <v>211</v>
      </c>
    </row>
    <row r="22" spans="1:17" ht="60" customHeight="1" x14ac:dyDescent="0.2">
      <c r="A22" s="7" t="s">
        <v>212</v>
      </c>
      <c r="B22" s="7" t="s">
        <v>14</v>
      </c>
      <c r="C22" s="7" t="s">
        <v>196</v>
      </c>
      <c r="D22" s="7" t="s">
        <v>42</v>
      </c>
      <c r="E22" s="7">
        <v>3</v>
      </c>
      <c r="F22" s="7">
        <v>4</v>
      </c>
      <c r="G22" s="7" t="s">
        <v>64</v>
      </c>
      <c r="H22" s="7" t="s">
        <v>213</v>
      </c>
      <c r="I22" s="7" t="s">
        <v>45</v>
      </c>
      <c r="J22" s="7" t="s">
        <v>214</v>
      </c>
      <c r="K22" s="7" t="s">
        <v>215</v>
      </c>
      <c r="L22" s="7" t="s">
        <v>216</v>
      </c>
      <c r="M22" s="7" t="s">
        <v>217</v>
      </c>
      <c r="N22" s="7" t="s">
        <v>218</v>
      </c>
      <c r="O22" s="7" t="s">
        <v>60</v>
      </c>
      <c r="P22" s="7" t="s">
        <v>219</v>
      </c>
      <c r="Q22" s="7"/>
    </row>
    <row r="23" spans="1:17" ht="60" customHeight="1" x14ac:dyDescent="0.2">
      <c r="A23" s="7" t="s">
        <v>220</v>
      </c>
      <c r="B23" s="7" t="s">
        <v>14</v>
      </c>
      <c r="C23" s="7" t="s">
        <v>196</v>
      </c>
      <c r="D23" s="7" t="s">
        <v>42</v>
      </c>
      <c r="E23" s="7">
        <v>4</v>
      </c>
      <c r="F23" s="7">
        <v>4</v>
      </c>
      <c r="G23" s="7" t="s">
        <v>64</v>
      </c>
      <c r="H23" s="7" t="s">
        <v>123</v>
      </c>
      <c r="I23" s="7" t="s">
        <v>45</v>
      </c>
      <c r="J23" s="7" t="s">
        <v>221</v>
      </c>
      <c r="K23" s="7" t="s">
        <v>222</v>
      </c>
      <c r="L23" s="7" t="s">
        <v>164</v>
      </c>
      <c r="M23" s="7" t="s">
        <v>165</v>
      </c>
      <c r="N23" s="7" t="s">
        <v>223</v>
      </c>
      <c r="O23" s="7" t="s">
        <v>51</v>
      </c>
      <c r="P23" s="7" t="s">
        <v>224</v>
      </c>
      <c r="Q23" s="7" t="s">
        <v>225</v>
      </c>
    </row>
    <row r="24" spans="1:17" ht="60" customHeight="1" x14ac:dyDescent="0.2">
      <c r="A24" s="7" t="s">
        <v>226</v>
      </c>
      <c r="B24" s="7" t="s">
        <v>14</v>
      </c>
      <c r="C24" s="7" t="s">
        <v>196</v>
      </c>
      <c r="D24" s="7" t="s">
        <v>42</v>
      </c>
      <c r="E24" s="7">
        <v>5</v>
      </c>
      <c r="F24" s="7">
        <v>5</v>
      </c>
      <c r="G24" s="7" t="s">
        <v>80</v>
      </c>
      <c r="H24" s="7" t="s">
        <v>227</v>
      </c>
      <c r="I24" s="7" t="s">
        <v>45</v>
      </c>
      <c r="J24" s="7" t="s">
        <v>228</v>
      </c>
      <c r="K24" s="7" t="s">
        <v>229</v>
      </c>
      <c r="L24" s="7" t="s">
        <v>230</v>
      </c>
      <c r="M24" s="7" t="s">
        <v>231</v>
      </c>
      <c r="N24" s="7" t="s">
        <v>232</v>
      </c>
      <c r="O24" s="7" t="s">
        <v>60</v>
      </c>
      <c r="P24" s="7" t="s">
        <v>233</v>
      </c>
      <c r="Q24" s="7" t="s">
        <v>234</v>
      </c>
    </row>
    <row r="25" spans="1:17" ht="60" customHeight="1" x14ac:dyDescent="0.2">
      <c r="A25" s="7" t="s">
        <v>235</v>
      </c>
      <c r="B25" s="7" t="s">
        <v>14</v>
      </c>
      <c r="C25" s="7" t="s">
        <v>196</v>
      </c>
      <c r="D25" s="7" t="s">
        <v>42</v>
      </c>
      <c r="E25" s="7">
        <v>6</v>
      </c>
      <c r="F25" s="7">
        <v>6</v>
      </c>
      <c r="G25" s="7" t="s">
        <v>91</v>
      </c>
      <c r="H25" s="7" t="s">
        <v>236</v>
      </c>
      <c r="I25" s="7" t="s">
        <v>45</v>
      </c>
      <c r="J25" s="7" t="s">
        <v>237</v>
      </c>
      <c r="K25" s="7" t="s">
        <v>238</v>
      </c>
      <c r="L25" s="7" t="s">
        <v>239</v>
      </c>
      <c r="M25" s="7" t="s">
        <v>240</v>
      </c>
      <c r="N25" s="7" t="s">
        <v>241</v>
      </c>
      <c r="O25" s="7" t="s">
        <v>60</v>
      </c>
      <c r="P25" s="7" t="s">
        <v>242</v>
      </c>
      <c r="Q25" s="7" t="s">
        <v>243</v>
      </c>
    </row>
    <row r="26" spans="1:17" ht="60" customHeight="1" x14ac:dyDescent="0.2">
      <c r="A26" s="7" t="s">
        <v>244</v>
      </c>
      <c r="B26" s="7" t="s">
        <v>14</v>
      </c>
      <c r="C26" s="7" t="s">
        <v>196</v>
      </c>
      <c r="D26" s="7" t="s">
        <v>101</v>
      </c>
      <c r="E26" s="7">
        <v>1</v>
      </c>
      <c r="F26" s="7">
        <v>2</v>
      </c>
      <c r="G26" s="7" t="s">
        <v>43</v>
      </c>
      <c r="H26" s="7" t="s">
        <v>245</v>
      </c>
      <c r="I26" s="7" t="s">
        <v>45</v>
      </c>
      <c r="J26" s="7" t="s">
        <v>246</v>
      </c>
      <c r="K26" s="7" t="s">
        <v>247</v>
      </c>
      <c r="L26" s="7" t="s">
        <v>248</v>
      </c>
      <c r="M26" s="7" t="s">
        <v>249</v>
      </c>
      <c r="N26" s="7" t="s">
        <v>250</v>
      </c>
      <c r="O26" s="7" t="s">
        <v>60</v>
      </c>
      <c r="P26" s="7" t="s">
        <v>251</v>
      </c>
      <c r="Q26" s="7"/>
    </row>
    <row r="27" spans="1:17" ht="60" customHeight="1" x14ac:dyDescent="0.2">
      <c r="A27" s="7" t="s">
        <v>252</v>
      </c>
      <c r="B27" s="7" t="s">
        <v>14</v>
      </c>
      <c r="C27" s="7" t="s">
        <v>196</v>
      </c>
      <c r="D27" s="7" t="s">
        <v>101</v>
      </c>
      <c r="E27" s="7">
        <v>2</v>
      </c>
      <c r="F27" s="7">
        <v>3</v>
      </c>
      <c r="G27" s="7" t="s">
        <v>55</v>
      </c>
      <c r="H27" s="7" t="s">
        <v>253</v>
      </c>
      <c r="I27" s="7" t="s">
        <v>45</v>
      </c>
      <c r="J27" s="7" t="s">
        <v>254</v>
      </c>
      <c r="K27" s="7" t="s">
        <v>255</v>
      </c>
      <c r="L27" s="7" t="s">
        <v>256</v>
      </c>
      <c r="M27" s="7" t="s">
        <v>257</v>
      </c>
      <c r="N27" s="7" t="s">
        <v>258</v>
      </c>
      <c r="O27" s="7" t="s">
        <v>51</v>
      </c>
      <c r="P27" s="7" t="s">
        <v>259</v>
      </c>
      <c r="Q27" s="7"/>
    </row>
    <row r="28" spans="1:17" ht="60" customHeight="1" x14ac:dyDescent="0.2">
      <c r="A28" s="7" t="s">
        <v>260</v>
      </c>
      <c r="B28" s="7" t="s">
        <v>14</v>
      </c>
      <c r="C28" s="7" t="s">
        <v>196</v>
      </c>
      <c r="D28" s="7" t="s">
        <v>101</v>
      </c>
      <c r="E28" s="7">
        <v>3</v>
      </c>
      <c r="F28" s="7">
        <v>4</v>
      </c>
      <c r="G28" s="7" t="s">
        <v>64</v>
      </c>
      <c r="H28" s="7" t="s">
        <v>261</v>
      </c>
      <c r="I28" s="7" t="s">
        <v>45</v>
      </c>
      <c r="J28" s="7" t="s">
        <v>262</v>
      </c>
      <c r="K28" s="7" t="s">
        <v>263</v>
      </c>
      <c r="L28" s="7" t="s">
        <v>264</v>
      </c>
      <c r="M28" s="7" t="s">
        <v>265</v>
      </c>
      <c r="N28" s="7" t="s">
        <v>266</v>
      </c>
      <c r="O28" s="7" t="s">
        <v>60</v>
      </c>
      <c r="P28" s="7" t="s">
        <v>267</v>
      </c>
      <c r="Q28" s="7"/>
    </row>
    <row r="29" spans="1:17" ht="60" customHeight="1" x14ac:dyDescent="0.2">
      <c r="A29" s="7" t="s">
        <v>268</v>
      </c>
      <c r="B29" s="7" t="s">
        <v>14</v>
      </c>
      <c r="C29" s="7" t="s">
        <v>196</v>
      </c>
      <c r="D29" s="7" t="s">
        <v>101</v>
      </c>
      <c r="E29" s="7">
        <v>4</v>
      </c>
      <c r="F29" s="7">
        <v>4</v>
      </c>
      <c r="G29" s="7" t="s">
        <v>64</v>
      </c>
      <c r="H29" s="7" t="s">
        <v>269</v>
      </c>
      <c r="I29" s="7" t="s">
        <v>45</v>
      </c>
      <c r="J29" s="7" t="s">
        <v>270</v>
      </c>
      <c r="K29" s="7" t="s">
        <v>271</v>
      </c>
      <c r="L29" s="7" t="s">
        <v>272</v>
      </c>
      <c r="M29" s="7" t="s">
        <v>273</v>
      </c>
      <c r="N29" s="7" t="s">
        <v>274</v>
      </c>
      <c r="O29" s="7" t="s">
        <v>51</v>
      </c>
      <c r="P29" s="7" t="s">
        <v>275</v>
      </c>
      <c r="Q29" s="7"/>
    </row>
    <row r="30" spans="1:17" ht="60" customHeight="1" x14ac:dyDescent="0.2">
      <c r="A30" s="7" t="s">
        <v>276</v>
      </c>
      <c r="B30" s="7" t="s">
        <v>14</v>
      </c>
      <c r="C30" s="7" t="s">
        <v>196</v>
      </c>
      <c r="D30" s="7" t="s">
        <v>101</v>
      </c>
      <c r="E30" s="7">
        <v>5</v>
      </c>
      <c r="F30" s="7">
        <v>5</v>
      </c>
      <c r="G30" s="7" t="s">
        <v>80</v>
      </c>
      <c r="H30" s="7" t="s">
        <v>277</v>
      </c>
      <c r="I30" s="7" t="s">
        <v>45</v>
      </c>
      <c r="J30" s="7" t="s">
        <v>278</v>
      </c>
      <c r="K30" s="7" t="s">
        <v>279</v>
      </c>
      <c r="L30" s="7" t="s">
        <v>280</v>
      </c>
      <c r="M30" s="7" t="s">
        <v>281</v>
      </c>
      <c r="N30" s="7" t="s">
        <v>282</v>
      </c>
      <c r="O30" s="7" t="s">
        <v>87</v>
      </c>
      <c r="P30" s="7" t="s">
        <v>283</v>
      </c>
      <c r="Q30" s="7"/>
    </row>
    <row r="31" spans="1:17" ht="60" customHeight="1" x14ac:dyDescent="0.2">
      <c r="A31" s="7" t="s">
        <v>284</v>
      </c>
      <c r="B31" s="7" t="s">
        <v>14</v>
      </c>
      <c r="C31" s="7" t="s">
        <v>196</v>
      </c>
      <c r="D31" s="7" t="s">
        <v>101</v>
      </c>
      <c r="E31" s="7">
        <v>6</v>
      </c>
      <c r="F31" s="7">
        <v>6</v>
      </c>
      <c r="G31" s="7" t="s">
        <v>91</v>
      </c>
      <c r="H31" s="7" t="s">
        <v>285</v>
      </c>
      <c r="I31" s="7" t="s">
        <v>45</v>
      </c>
      <c r="J31" s="7" t="s">
        <v>286</v>
      </c>
      <c r="K31" s="7" t="s">
        <v>287</v>
      </c>
      <c r="L31" s="7" t="s">
        <v>288</v>
      </c>
      <c r="M31" s="7" t="s">
        <v>289</v>
      </c>
      <c r="N31" s="7" t="s">
        <v>290</v>
      </c>
      <c r="O31" s="7" t="s">
        <v>51</v>
      </c>
      <c r="P31" s="7" t="s">
        <v>291</v>
      </c>
      <c r="Q31" s="7" t="s">
        <v>292</v>
      </c>
    </row>
    <row r="32" spans="1:17" ht="60" customHeight="1" x14ac:dyDescent="0.2">
      <c r="A32" s="7" t="s">
        <v>293</v>
      </c>
      <c r="B32" s="7" t="s">
        <v>14</v>
      </c>
      <c r="C32" s="7" t="s">
        <v>196</v>
      </c>
      <c r="D32" s="7" t="s">
        <v>149</v>
      </c>
      <c r="E32" s="7">
        <v>1</v>
      </c>
      <c r="F32" s="7">
        <v>2</v>
      </c>
      <c r="G32" s="7" t="s">
        <v>43</v>
      </c>
      <c r="H32" s="7" t="s">
        <v>102</v>
      </c>
      <c r="I32" s="7" t="s">
        <v>45</v>
      </c>
      <c r="J32" s="7" t="s">
        <v>294</v>
      </c>
      <c r="K32" s="7" t="s">
        <v>295</v>
      </c>
      <c r="L32" s="7" t="s">
        <v>296</v>
      </c>
      <c r="M32" s="7" t="s">
        <v>297</v>
      </c>
      <c r="N32" s="7" t="s">
        <v>298</v>
      </c>
      <c r="O32" s="7" t="s">
        <v>60</v>
      </c>
      <c r="P32" s="7" t="s">
        <v>299</v>
      </c>
      <c r="Q32" s="7"/>
    </row>
    <row r="33" spans="1:17" ht="60" customHeight="1" x14ac:dyDescent="0.2">
      <c r="A33" s="7" t="s">
        <v>300</v>
      </c>
      <c r="B33" s="7" t="s">
        <v>14</v>
      </c>
      <c r="C33" s="7" t="s">
        <v>196</v>
      </c>
      <c r="D33" s="7" t="s">
        <v>149</v>
      </c>
      <c r="E33" s="7">
        <v>2</v>
      </c>
      <c r="F33" s="7">
        <v>3</v>
      </c>
      <c r="G33" s="7" t="s">
        <v>55</v>
      </c>
      <c r="H33" s="7" t="s">
        <v>301</v>
      </c>
      <c r="I33" s="7" t="s">
        <v>56</v>
      </c>
      <c r="J33" s="7" t="s">
        <v>302</v>
      </c>
      <c r="K33" s="7" t="s">
        <v>58</v>
      </c>
      <c r="L33" s="7" t="s">
        <v>59</v>
      </c>
      <c r="M33" s="7"/>
      <c r="N33" s="7"/>
      <c r="O33" s="7" t="s">
        <v>51</v>
      </c>
      <c r="P33" s="7" t="s">
        <v>303</v>
      </c>
      <c r="Q33" s="7"/>
    </row>
    <row r="34" spans="1:17" ht="60" customHeight="1" x14ac:dyDescent="0.2">
      <c r="A34" s="7" t="s">
        <v>304</v>
      </c>
      <c r="B34" s="7" t="s">
        <v>14</v>
      </c>
      <c r="C34" s="7" t="s">
        <v>196</v>
      </c>
      <c r="D34" s="7" t="s">
        <v>149</v>
      </c>
      <c r="E34" s="7">
        <v>3</v>
      </c>
      <c r="F34" s="7">
        <v>4</v>
      </c>
      <c r="G34" s="7" t="s">
        <v>64</v>
      </c>
      <c r="H34" s="7" t="s">
        <v>305</v>
      </c>
      <c r="I34" s="7" t="s">
        <v>45</v>
      </c>
      <c r="J34" s="7" t="s">
        <v>306</v>
      </c>
      <c r="K34" s="7" t="s">
        <v>307</v>
      </c>
      <c r="L34" s="7" t="s">
        <v>308</v>
      </c>
      <c r="M34" s="7" t="s">
        <v>309</v>
      </c>
      <c r="N34" s="7" t="s">
        <v>310</v>
      </c>
      <c r="O34" s="7" t="s">
        <v>60</v>
      </c>
      <c r="P34" s="7" t="s">
        <v>311</v>
      </c>
      <c r="Q34" s="7" t="s">
        <v>312</v>
      </c>
    </row>
    <row r="35" spans="1:17" ht="60" customHeight="1" x14ac:dyDescent="0.2">
      <c r="A35" s="7" t="s">
        <v>313</v>
      </c>
      <c r="B35" s="7" t="s">
        <v>14</v>
      </c>
      <c r="C35" s="7" t="s">
        <v>196</v>
      </c>
      <c r="D35" s="7" t="s">
        <v>149</v>
      </c>
      <c r="E35" s="7">
        <v>4</v>
      </c>
      <c r="F35" s="7">
        <v>4</v>
      </c>
      <c r="G35" s="7" t="s">
        <v>64</v>
      </c>
      <c r="H35" s="7" t="s">
        <v>314</v>
      </c>
      <c r="I35" s="7" t="s">
        <v>45</v>
      </c>
      <c r="J35" s="7" t="s">
        <v>315</v>
      </c>
      <c r="K35" s="7" t="s">
        <v>316</v>
      </c>
      <c r="L35" s="7" t="s">
        <v>317</v>
      </c>
      <c r="M35" s="7" t="s">
        <v>318</v>
      </c>
      <c r="N35" s="7" t="s">
        <v>319</v>
      </c>
      <c r="O35" s="7" t="s">
        <v>60</v>
      </c>
      <c r="P35" s="7" t="s">
        <v>320</v>
      </c>
      <c r="Q35" s="7"/>
    </row>
    <row r="36" spans="1:17" ht="60" customHeight="1" x14ac:dyDescent="0.2">
      <c r="A36" s="7" t="s">
        <v>321</v>
      </c>
      <c r="B36" s="7" t="s">
        <v>14</v>
      </c>
      <c r="C36" s="7" t="s">
        <v>196</v>
      </c>
      <c r="D36" s="7" t="s">
        <v>149</v>
      </c>
      <c r="E36" s="7">
        <v>5</v>
      </c>
      <c r="F36" s="7">
        <v>5</v>
      </c>
      <c r="G36" s="7" t="s">
        <v>80</v>
      </c>
      <c r="H36" s="7" t="s">
        <v>322</v>
      </c>
      <c r="I36" s="7" t="s">
        <v>45</v>
      </c>
      <c r="J36" s="7" t="s">
        <v>323</v>
      </c>
      <c r="K36" s="7" t="s">
        <v>324</v>
      </c>
      <c r="L36" s="7" t="s">
        <v>325</v>
      </c>
      <c r="M36" s="7" t="s">
        <v>326</v>
      </c>
      <c r="N36" s="7" t="s">
        <v>327</v>
      </c>
      <c r="O36" s="7" t="s">
        <v>51</v>
      </c>
      <c r="P36" s="7" t="s">
        <v>328</v>
      </c>
      <c r="Q36" s="7" t="s">
        <v>329</v>
      </c>
    </row>
    <row r="37" spans="1:17" ht="60" customHeight="1" x14ac:dyDescent="0.2">
      <c r="A37" s="7" t="s">
        <v>330</v>
      </c>
      <c r="B37" s="7" t="s">
        <v>14</v>
      </c>
      <c r="C37" s="7" t="s">
        <v>196</v>
      </c>
      <c r="D37" s="7" t="s">
        <v>149</v>
      </c>
      <c r="E37" s="7">
        <v>6</v>
      </c>
      <c r="F37" s="7">
        <v>6</v>
      </c>
      <c r="G37" s="7" t="s">
        <v>91</v>
      </c>
      <c r="H37" s="7" t="s">
        <v>92</v>
      </c>
      <c r="I37" s="7" t="s">
        <v>45</v>
      </c>
      <c r="J37" s="7" t="s">
        <v>331</v>
      </c>
      <c r="K37" s="7" t="s">
        <v>332</v>
      </c>
      <c r="L37" s="7" t="s">
        <v>333</v>
      </c>
      <c r="M37" s="7" t="s">
        <v>334</v>
      </c>
      <c r="N37" s="7" t="s">
        <v>335</v>
      </c>
      <c r="O37" s="7" t="s">
        <v>87</v>
      </c>
      <c r="P37" s="7" t="s">
        <v>336</v>
      </c>
      <c r="Q37" s="7" t="s">
        <v>337</v>
      </c>
    </row>
    <row r="38" spans="1:17" ht="60" customHeight="1" x14ac:dyDescent="0.2">
      <c r="A38" s="7" t="s">
        <v>338</v>
      </c>
      <c r="B38" s="7" t="s">
        <v>15</v>
      </c>
      <c r="C38" s="7"/>
      <c r="D38" s="7"/>
      <c r="E38" s="7"/>
      <c r="F38" s="7">
        <v>2</v>
      </c>
      <c r="G38" s="7" t="s">
        <v>43</v>
      </c>
      <c r="H38" s="7" t="s">
        <v>339</v>
      </c>
      <c r="I38" s="7" t="s">
        <v>45</v>
      </c>
      <c r="J38" s="7" t="s">
        <v>340</v>
      </c>
      <c r="K38" s="7" t="s">
        <v>341</v>
      </c>
      <c r="L38" s="7" t="s">
        <v>342</v>
      </c>
      <c r="M38" s="7" t="s">
        <v>343</v>
      </c>
      <c r="N38" s="7" t="s">
        <v>344</v>
      </c>
      <c r="O38" s="7" t="s">
        <v>87</v>
      </c>
      <c r="P38" s="7" t="s">
        <v>345</v>
      </c>
      <c r="Q38" s="7" t="s">
        <v>346</v>
      </c>
    </row>
    <row r="39" spans="1:17" ht="60" customHeight="1" x14ac:dyDescent="0.2">
      <c r="A39" s="7" t="s">
        <v>347</v>
      </c>
      <c r="B39" s="7" t="s">
        <v>15</v>
      </c>
      <c r="C39" s="7"/>
      <c r="D39" s="7"/>
      <c r="E39" s="7"/>
      <c r="F39" s="7">
        <v>2</v>
      </c>
      <c r="G39" s="7" t="s">
        <v>43</v>
      </c>
      <c r="H39" s="7" t="s">
        <v>102</v>
      </c>
      <c r="I39" s="7" t="s">
        <v>45</v>
      </c>
      <c r="J39" s="7" t="s">
        <v>348</v>
      </c>
      <c r="K39" s="7" t="s">
        <v>349</v>
      </c>
      <c r="L39" s="7" t="s">
        <v>350</v>
      </c>
      <c r="M39" s="7" t="s">
        <v>351</v>
      </c>
      <c r="N39" s="7" t="s">
        <v>352</v>
      </c>
      <c r="O39" s="7" t="s">
        <v>60</v>
      </c>
      <c r="P39" s="7" t="s">
        <v>353</v>
      </c>
      <c r="Q39" s="7"/>
    </row>
    <row r="40" spans="1:17" ht="60" customHeight="1" x14ac:dyDescent="0.2">
      <c r="A40" s="7" t="s">
        <v>354</v>
      </c>
      <c r="B40" s="7" t="s">
        <v>15</v>
      </c>
      <c r="C40" s="7"/>
      <c r="D40" s="7"/>
      <c r="E40" s="7"/>
      <c r="F40" s="7">
        <v>3</v>
      </c>
      <c r="G40" s="7" t="s">
        <v>55</v>
      </c>
      <c r="H40" s="7" t="s">
        <v>355</v>
      </c>
      <c r="I40" s="7" t="s">
        <v>45</v>
      </c>
      <c r="J40" s="7" t="s">
        <v>356</v>
      </c>
      <c r="K40" s="7" t="s">
        <v>357</v>
      </c>
      <c r="L40" s="7" t="s">
        <v>358</v>
      </c>
      <c r="M40" s="7" t="s">
        <v>359</v>
      </c>
      <c r="N40" s="7" t="s">
        <v>360</v>
      </c>
      <c r="O40" s="7" t="s">
        <v>60</v>
      </c>
      <c r="P40" s="7" t="s">
        <v>361</v>
      </c>
      <c r="Q40" s="7" t="s">
        <v>362</v>
      </c>
    </row>
    <row r="41" spans="1:17" ht="60" customHeight="1" x14ac:dyDescent="0.2">
      <c r="A41" s="7" t="s">
        <v>363</v>
      </c>
      <c r="B41" s="7" t="s">
        <v>15</v>
      </c>
      <c r="C41" s="7"/>
      <c r="D41" s="7"/>
      <c r="E41" s="7"/>
      <c r="F41" s="7">
        <v>3</v>
      </c>
      <c r="G41" s="7" t="s">
        <v>55</v>
      </c>
      <c r="H41" s="7" t="s">
        <v>364</v>
      </c>
      <c r="I41" s="7" t="s">
        <v>45</v>
      </c>
      <c r="J41" s="7" t="s">
        <v>365</v>
      </c>
      <c r="K41" s="7" t="s">
        <v>366</v>
      </c>
      <c r="L41" s="7" t="s">
        <v>367</v>
      </c>
      <c r="M41" s="7" t="s">
        <v>368</v>
      </c>
      <c r="N41" s="7" t="s">
        <v>369</v>
      </c>
      <c r="O41" s="7" t="s">
        <v>51</v>
      </c>
      <c r="P41" s="7" t="s">
        <v>370</v>
      </c>
      <c r="Q41" s="7"/>
    </row>
    <row r="42" spans="1:17" ht="60" customHeight="1" x14ac:dyDescent="0.2">
      <c r="A42" s="7" t="s">
        <v>371</v>
      </c>
      <c r="B42" s="7" t="s">
        <v>15</v>
      </c>
      <c r="C42" s="7"/>
      <c r="D42" s="7"/>
      <c r="E42" s="7"/>
      <c r="F42" s="7">
        <v>4</v>
      </c>
      <c r="G42" s="7" t="s">
        <v>64</v>
      </c>
      <c r="H42" s="7" t="s">
        <v>180</v>
      </c>
      <c r="I42" s="7" t="s">
        <v>65</v>
      </c>
      <c r="J42" s="7" t="s">
        <v>372</v>
      </c>
      <c r="K42" s="7"/>
      <c r="L42" s="7"/>
      <c r="M42" s="7"/>
      <c r="N42" s="7"/>
      <c r="O42" s="7" t="s">
        <v>373</v>
      </c>
      <c r="P42" s="7" t="s">
        <v>374</v>
      </c>
      <c r="Q42" s="7"/>
    </row>
    <row r="43" spans="1:17" ht="60" customHeight="1" x14ac:dyDescent="0.2">
      <c r="A43" s="7" t="s">
        <v>375</v>
      </c>
      <c r="B43" s="7" t="s">
        <v>15</v>
      </c>
      <c r="C43" s="7"/>
      <c r="D43" s="7"/>
      <c r="E43" s="7"/>
      <c r="F43" s="7">
        <v>4</v>
      </c>
      <c r="G43" s="7" t="s">
        <v>64</v>
      </c>
      <c r="H43" s="7" t="s">
        <v>376</v>
      </c>
      <c r="I43" s="7" t="s">
        <v>45</v>
      </c>
      <c r="J43" s="7" t="s">
        <v>377</v>
      </c>
      <c r="K43" s="7" t="s">
        <v>378</v>
      </c>
      <c r="L43" s="7" t="s">
        <v>379</v>
      </c>
      <c r="M43" s="7" t="s">
        <v>380</v>
      </c>
      <c r="N43" s="7" t="s">
        <v>381</v>
      </c>
      <c r="O43" s="7" t="s">
        <v>60</v>
      </c>
      <c r="P43" s="7" t="s">
        <v>382</v>
      </c>
      <c r="Q43" s="7"/>
    </row>
    <row r="44" spans="1:17" ht="60" customHeight="1" x14ac:dyDescent="0.2">
      <c r="A44" s="7" t="s">
        <v>383</v>
      </c>
      <c r="B44" s="7" t="s">
        <v>15</v>
      </c>
      <c r="C44" s="7"/>
      <c r="D44" s="7"/>
      <c r="E44" s="7"/>
      <c r="F44" s="7">
        <v>4</v>
      </c>
      <c r="G44" s="7" t="s">
        <v>64</v>
      </c>
      <c r="H44" s="7" t="s">
        <v>123</v>
      </c>
      <c r="I44" s="7" t="s">
        <v>45</v>
      </c>
      <c r="J44" s="7" t="s">
        <v>384</v>
      </c>
      <c r="K44" s="7" t="s">
        <v>164</v>
      </c>
      <c r="L44" s="7" t="s">
        <v>165</v>
      </c>
      <c r="M44" s="7" t="s">
        <v>223</v>
      </c>
      <c r="N44" s="7" t="s">
        <v>385</v>
      </c>
      <c r="O44" s="7" t="s">
        <v>60</v>
      </c>
      <c r="P44" s="7" t="s">
        <v>386</v>
      </c>
      <c r="Q44" s="7"/>
    </row>
    <row r="45" spans="1:17" ht="60" customHeight="1" x14ac:dyDescent="0.2">
      <c r="A45" s="7" t="s">
        <v>387</v>
      </c>
      <c r="B45" s="7" t="s">
        <v>15</v>
      </c>
      <c r="C45" s="7"/>
      <c r="D45" s="7"/>
      <c r="E45" s="7"/>
      <c r="F45" s="7">
        <v>4</v>
      </c>
      <c r="G45" s="7" t="s">
        <v>64</v>
      </c>
      <c r="H45" s="7" t="s">
        <v>388</v>
      </c>
      <c r="I45" s="7" t="s">
        <v>45</v>
      </c>
      <c r="J45" s="7" t="s">
        <v>389</v>
      </c>
      <c r="K45" s="7" t="s">
        <v>390</v>
      </c>
      <c r="L45" s="7" t="s">
        <v>391</v>
      </c>
      <c r="M45" s="7" t="s">
        <v>392</v>
      </c>
      <c r="N45" s="7" t="s">
        <v>393</v>
      </c>
      <c r="O45" s="7" t="s">
        <v>87</v>
      </c>
      <c r="P45" s="7" t="s">
        <v>394</v>
      </c>
      <c r="Q45" s="7"/>
    </row>
    <row r="46" spans="1:17" ht="60" customHeight="1" x14ac:dyDescent="0.2">
      <c r="A46" s="7" t="s">
        <v>395</v>
      </c>
      <c r="B46" s="7" t="s">
        <v>15</v>
      </c>
      <c r="C46" s="7"/>
      <c r="D46" s="7"/>
      <c r="E46" s="7"/>
      <c r="F46" s="7">
        <v>5</v>
      </c>
      <c r="G46" s="7" t="s">
        <v>80</v>
      </c>
      <c r="H46" s="7" t="s">
        <v>162</v>
      </c>
      <c r="I46" s="7" t="s">
        <v>45</v>
      </c>
      <c r="J46" s="7" t="s">
        <v>396</v>
      </c>
      <c r="K46" s="7" t="s">
        <v>397</v>
      </c>
      <c r="L46" s="7" t="s">
        <v>398</v>
      </c>
      <c r="M46" s="7" t="s">
        <v>399</v>
      </c>
      <c r="N46" s="7" t="s">
        <v>400</v>
      </c>
      <c r="O46" s="7" t="s">
        <v>60</v>
      </c>
      <c r="P46" s="7" t="s">
        <v>401</v>
      </c>
      <c r="Q46" s="7"/>
    </row>
    <row r="47" spans="1:17" ht="60" customHeight="1" x14ac:dyDescent="0.2">
      <c r="A47" s="7" t="s">
        <v>402</v>
      </c>
      <c r="B47" s="7" t="s">
        <v>15</v>
      </c>
      <c r="C47" s="7"/>
      <c r="D47" s="7"/>
      <c r="E47" s="7"/>
      <c r="F47" s="7">
        <v>5</v>
      </c>
      <c r="G47" s="7" t="s">
        <v>80</v>
      </c>
      <c r="H47" s="7" t="s">
        <v>277</v>
      </c>
      <c r="I47" s="7" t="s">
        <v>45</v>
      </c>
      <c r="J47" s="7" t="s">
        <v>403</v>
      </c>
      <c r="K47" s="7" t="s">
        <v>404</v>
      </c>
      <c r="L47" s="7" t="s">
        <v>405</v>
      </c>
      <c r="M47" s="7" t="s">
        <v>406</v>
      </c>
      <c r="N47" s="7" t="s">
        <v>407</v>
      </c>
      <c r="O47" s="7" t="s">
        <v>60</v>
      </c>
      <c r="P47" s="7" t="s">
        <v>408</v>
      </c>
      <c r="Q47" s="7"/>
    </row>
    <row r="48" spans="1:17" ht="60" customHeight="1" x14ac:dyDescent="0.2">
      <c r="A48" s="7" t="s">
        <v>409</v>
      </c>
      <c r="B48" s="7" t="s">
        <v>15</v>
      </c>
      <c r="C48" s="7"/>
      <c r="D48" s="7"/>
      <c r="E48" s="7"/>
      <c r="F48" s="7">
        <v>6</v>
      </c>
      <c r="G48" s="7" t="s">
        <v>91</v>
      </c>
      <c r="H48" s="7" t="s">
        <v>102</v>
      </c>
      <c r="I48" s="7" t="s">
        <v>45</v>
      </c>
      <c r="J48" s="7" t="s">
        <v>410</v>
      </c>
      <c r="K48" s="7" t="s">
        <v>411</v>
      </c>
      <c r="L48" s="7" t="s">
        <v>412</v>
      </c>
      <c r="M48" s="7" t="s">
        <v>413</v>
      </c>
      <c r="N48" s="7" t="s">
        <v>414</v>
      </c>
      <c r="O48" s="7" t="s">
        <v>87</v>
      </c>
      <c r="P48" s="7" t="s">
        <v>415</v>
      </c>
      <c r="Q48" s="7"/>
    </row>
    <row r="49" spans="1:17" ht="60" customHeight="1" x14ac:dyDescent="0.2">
      <c r="A49" s="7" t="s">
        <v>416</v>
      </c>
      <c r="B49" s="7" t="s">
        <v>15</v>
      </c>
      <c r="C49" s="7"/>
      <c r="D49" s="7"/>
      <c r="E49" s="7"/>
      <c r="F49" s="7">
        <v>6</v>
      </c>
      <c r="G49" s="7" t="s">
        <v>91</v>
      </c>
      <c r="H49" s="7" t="s">
        <v>417</v>
      </c>
      <c r="I49" s="7" t="s">
        <v>45</v>
      </c>
      <c r="J49" s="7" t="s">
        <v>418</v>
      </c>
      <c r="K49" s="7" t="s">
        <v>419</v>
      </c>
      <c r="L49" s="7" t="s">
        <v>420</v>
      </c>
      <c r="M49" s="7" t="s">
        <v>421</v>
      </c>
      <c r="N49" s="7" t="s">
        <v>422</v>
      </c>
      <c r="O49" s="7" t="s">
        <v>87</v>
      </c>
      <c r="P49" s="7" t="s">
        <v>423</v>
      </c>
      <c r="Q49" s="7" t="s">
        <v>424</v>
      </c>
    </row>
    <row r="50" spans="1:17" x14ac:dyDescent="0.2">
      <c r="A50" t="s">
        <v>425</v>
      </c>
      <c r="B50" t="s">
        <v>15</v>
      </c>
      <c r="F50">
        <v>6</v>
      </c>
      <c r="G50" t="s">
        <v>91</v>
      </c>
      <c r="H50" t="s">
        <v>426</v>
      </c>
      <c r="I50" t="s">
        <v>45</v>
      </c>
      <c r="J50" t="s">
        <v>427</v>
      </c>
      <c r="K50" t="s">
        <v>428</v>
      </c>
      <c r="L50" t="s">
        <v>429</v>
      </c>
      <c r="M50" t="s">
        <v>430</v>
      </c>
      <c r="N50" t="s">
        <v>431</v>
      </c>
      <c r="O50" t="s">
        <v>87</v>
      </c>
      <c r="P50" t="s">
        <v>432</v>
      </c>
      <c r="Q50" t="s">
        <v>433</v>
      </c>
    </row>
    <row r="51" spans="1:17" x14ac:dyDescent="0.2">
      <c r="A51" t="s">
        <v>434</v>
      </c>
      <c r="B51" t="s">
        <v>15</v>
      </c>
      <c r="F51">
        <v>6</v>
      </c>
      <c r="G51" t="s">
        <v>91</v>
      </c>
      <c r="H51" t="s">
        <v>435</v>
      </c>
      <c r="I51" t="s">
        <v>45</v>
      </c>
      <c r="J51" t="s">
        <v>436</v>
      </c>
      <c r="K51" t="s">
        <v>437</v>
      </c>
      <c r="L51" t="s">
        <v>438</v>
      </c>
      <c r="M51" t="s">
        <v>439</v>
      </c>
      <c r="N51" t="s">
        <v>440</v>
      </c>
      <c r="O51" t="s">
        <v>51</v>
      </c>
      <c r="P51" t="s">
        <v>441</v>
      </c>
      <c r="Q51" t="s">
        <v>433</v>
      </c>
    </row>
    <row r="52" spans="1:17" x14ac:dyDescent="0.2">
      <c r="A52" t="s">
        <v>442</v>
      </c>
      <c r="B52" t="s">
        <v>15</v>
      </c>
      <c r="F52">
        <v>6</v>
      </c>
      <c r="G52" t="s">
        <v>91</v>
      </c>
      <c r="H52" t="s">
        <v>376</v>
      </c>
      <c r="I52" t="s">
        <v>45</v>
      </c>
      <c r="J52" t="s">
        <v>443</v>
      </c>
      <c r="K52" t="s">
        <v>444</v>
      </c>
      <c r="L52" t="s">
        <v>153</v>
      </c>
      <c r="M52" t="s">
        <v>445</v>
      </c>
      <c r="N52" t="s">
        <v>446</v>
      </c>
      <c r="O52" t="s">
        <v>87</v>
      </c>
      <c r="P52" t="s">
        <v>447</v>
      </c>
      <c r="Q52" t="s">
        <v>433</v>
      </c>
    </row>
    <row r="53" spans="1:17" x14ac:dyDescent="0.2">
      <c r="A53" t="s">
        <v>448</v>
      </c>
      <c r="B53" t="s">
        <v>15</v>
      </c>
      <c r="F53">
        <v>6</v>
      </c>
      <c r="G53" t="s">
        <v>91</v>
      </c>
      <c r="H53" t="s">
        <v>449</v>
      </c>
      <c r="I53" t="s">
        <v>45</v>
      </c>
      <c r="J53" t="s">
        <v>450</v>
      </c>
      <c r="K53" t="s">
        <v>451</v>
      </c>
      <c r="L53" t="s">
        <v>452</v>
      </c>
      <c r="M53" t="s">
        <v>453</v>
      </c>
      <c r="N53" t="s">
        <v>454</v>
      </c>
      <c r="O53" t="s">
        <v>87</v>
      </c>
      <c r="P53" t="s">
        <v>455</v>
      </c>
      <c r="Q53" t="s">
        <v>433</v>
      </c>
    </row>
    <row r="54" spans="1:17" x14ac:dyDescent="0.2">
      <c r="A54" t="s">
        <v>456</v>
      </c>
      <c r="B54" t="s">
        <v>15</v>
      </c>
      <c r="F54">
        <v>6</v>
      </c>
      <c r="G54" t="s">
        <v>91</v>
      </c>
      <c r="H54" t="s">
        <v>457</v>
      </c>
      <c r="I54" t="s">
        <v>45</v>
      </c>
      <c r="J54" t="s">
        <v>458</v>
      </c>
      <c r="K54" t="s">
        <v>459</v>
      </c>
      <c r="L54" t="s">
        <v>460</v>
      </c>
      <c r="M54" t="s">
        <v>446</v>
      </c>
      <c r="N54" t="s">
        <v>461</v>
      </c>
      <c r="O54" t="s">
        <v>51</v>
      </c>
      <c r="P54" t="s">
        <v>462</v>
      </c>
      <c r="Q54" t="s">
        <v>433</v>
      </c>
    </row>
    <row r="55" spans="1:17" x14ac:dyDescent="0.2">
      <c r="A55" t="s">
        <v>463</v>
      </c>
      <c r="B55" t="s">
        <v>15</v>
      </c>
      <c r="F55">
        <v>6</v>
      </c>
      <c r="G55" t="s">
        <v>91</v>
      </c>
      <c r="H55" t="s">
        <v>464</v>
      </c>
      <c r="I55" t="s">
        <v>45</v>
      </c>
      <c r="J55" t="s">
        <v>465</v>
      </c>
      <c r="K55" t="s">
        <v>466</v>
      </c>
      <c r="L55" t="s">
        <v>467</v>
      </c>
      <c r="M55" t="s">
        <v>468</v>
      </c>
      <c r="N55" t="s">
        <v>469</v>
      </c>
      <c r="O55" t="s">
        <v>51</v>
      </c>
      <c r="P55" t="s">
        <v>470</v>
      </c>
      <c r="Q55" t="s">
        <v>433</v>
      </c>
    </row>
  </sheetData>
  <conditionalFormatting sqref="F2:F49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tabSelected="1" topLeftCell="A5" zoomScale="150" workbookViewId="0">
      <selection activeCell="I11" sqref="I11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6" customWidth="1"/>
    <col min="4" max="4" width="8" customWidth="1"/>
    <col min="5" max="6" width="10" customWidth="1"/>
    <col min="7" max="7" width="22" customWidth="1"/>
    <col min="8" max="8" width="12" customWidth="1"/>
    <col min="9" max="9" width="70" customWidth="1"/>
    <col min="10" max="13" width="34" customWidth="1"/>
  </cols>
  <sheetData>
    <row r="1" spans="1:13" ht="16" x14ac:dyDescent="0.2">
      <c r="A1" s="6" t="s">
        <v>27</v>
      </c>
      <c r="B1" s="6" t="s">
        <v>28</v>
      </c>
      <c r="C1" s="6" t="s">
        <v>29</v>
      </c>
      <c r="D1" s="6" t="s">
        <v>25</v>
      </c>
      <c r="E1" s="6" t="s">
        <v>11</v>
      </c>
      <c r="F1" s="6" t="s">
        <v>12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  <c r="L1" s="6" t="s">
        <v>35</v>
      </c>
      <c r="M1" s="6" t="s">
        <v>36</v>
      </c>
    </row>
    <row r="2" spans="1:13" ht="64" customHeight="1" x14ac:dyDescent="0.2">
      <c r="A2" s="7" t="s">
        <v>41</v>
      </c>
      <c r="B2" s="7" t="s">
        <v>42</v>
      </c>
      <c r="C2" s="7">
        <v>1</v>
      </c>
      <c r="D2" s="7" t="s">
        <v>40</v>
      </c>
      <c r="E2" s="7">
        <v>1</v>
      </c>
      <c r="F2" s="7" t="s">
        <v>16</v>
      </c>
      <c r="G2" s="7" t="s">
        <v>44</v>
      </c>
      <c r="H2" s="7" t="s">
        <v>45</v>
      </c>
      <c r="I2" s="7" t="s">
        <v>46</v>
      </c>
      <c r="J2" s="7" t="s">
        <v>47</v>
      </c>
      <c r="K2" s="7" t="s">
        <v>48</v>
      </c>
      <c r="L2" s="7" t="s">
        <v>49</v>
      </c>
      <c r="M2" s="7" t="s">
        <v>50</v>
      </c>
    </row>
    <row r="3" spans="1:13" ht="64" customHeight="1" x14ac:dyDescent="0.2">
      <c r="A3" s="7" t="s">
        <v>41</v>
      </c>
      <c r="B3" s="7" t="s">
        <v>42</v>
      </c>
      <c r="C3" s="7">
        <v>2</v>
      </c>
      <c r="D3" s="7" t="s">
        <v>54</v>
      </c>
      <c r="E3" s="7">
        <v>2</v>
      </c>
      <c r="F3" s="7" t="s">
        <v>16</v>
      </c>
      <c r="G3" s="7" t="s">
        <v>44</v>
      </c>
      <c r="H3" s="7" t="s">
        <v>56</v>
      </c>
      <c r="I3" s="7" t="s">
        <v>57</v>
      </c>
      <c r="J3" s="7" t="s">
        <v>58</v>
      </c>
      <c r="K3" s="7" t="s">
        <v>59</v>
      </c>
      <c r="L3" s="7"/>
      <c r="M3" s="7"/>
    </row>
    <row r="4" spans="1:13" ht="64" customHeight="1" x14ac:dyDescent="0.2">
      <c r="A4" s="7" t="s">
        <v>41</v>
      </c>
      <c r="B4" s="7" t="s">
        <v>42</v>
      </c>
      <c r="C4" s="7">
        <v>3</v>
      </c>
      <c r="D4" s="7" t="s">
        <v>63</v>
      </c>
      <c r="E4" s="7">
        <v>3</v>
      </c>
      <c r="F4" s="7" t="s">
        <v>17</v>
      </c>
      <c r="G4" s="7" t="s">
        <v>44</v>
      </c>
      <c r="H4" s="7" t="s">
        <v>65</v>
      </c>
      <c r="I4" s="7" t="s">
        <v>66</v>
      </c>
      <c r="J4" s="7"/>
      <c r="K4" s="7"/>
      <c r="L4" s="7"/>
      <c r="M4" s="7"/>
    </row>
    <row r="5" spans="1:13" ht="64" customHeight="1" x14ac:dyDescent="0.2">
      <c r="A5" s="7" t="s">
        <v>41</v>
      </c>
      <c r="B5" s="7" t="s">
        <v>42</v>
      </c>
      <c r="C5" s="7">
        <v>4</v>
      </c>
      <c r="D5" s="7" t="s">
        <v>70</v>
      </c>
      <c r="E5" s="7">
        <v>3</v>
      </c>
      <c r="F5" s="7" t="s">
        <v>17</v>
      </c>
      <c r="G5" s="7" t="s">
        <v>71</v>
      </c>
      <c r="H5" s="7" t="s">
        <v>45</v>
      </c>
      <c r="I5" s="7" t="s">
        <v>72</v>
      </c>
      <c r="J5" s="7" t="s">
        <v>73</v>
      </c>
      <c r="K5" s="7" t="s">
        <v>74</v>
      </c>
      <c r="L5" s="7" t="s">
        <v>75</v>
      </c>
      <c r="M5" s="7" t="s">
        <v>76</v>
      </c>
    </row>
    <row r="6" spans="1:13" ht="64" customHeight="1" x14ac:dyDescent="0.2">
      <c r="A6" s="7" t="s">
        <v>41</v>
      </c>
      <c r="B6" s="7" t="s">
        <v>42</v>
      </c>
      <c r="C6" s="7">
        <v>5</v>
      </c>
      <c r="D6" s="7" t="s">
        <v>79</v>
      </c>
      <c r="E6" s="7">
        <v>4</v>
      </c>
      <c r="F6" s="7" t="s">
        <v>18</v>
      </c>
      <c r="G6" s="7" t="s">
        <v>81</v>
      </c>
      <c r="H6" s="7" t="s">
        <v>45</v>
      </c>
      <c r="I6" s="7" t="s">
        <v>82</v>
      </c>
      <c r="J6" s="7" t="s">
        <v>83</v>
      </c>
      <c r="K6" s="7" t="s">
        <v>84</v>
      </c>
      <c r="L6" s="7" t="s">
        <v>85</v>
      </c>
      <c r="M6" s="7" t="s">
        <v>86</v>
      </c>
    </row>
    <row r="7" spans="1:13" ht="64" customHeight="1" x14ac:dyDescent="0.2">
      <c r="A7" s="7" t="s">
        <v>41</v>
      </c>
      <c r="B7" s="7" t="s">
        <v>42</v>
      </c>
      <c r="C7" s="7">
        <v>6</v>
      </c>
      <c r="D7" s="7" t="s">
        <v>90</v>
      </c>
      <c r="E7" s="7">
        <v>5</v>
      </c>
      <c r="F7" s="7" t="s">
        <v>18</v>
      </c>
      <c r="G7" s="7" t="s">
        <v>92</v>
      </c>
      <c r="H7" s="7" t="s">
        <v>45</v>
      </c>
      <c r="I7" s="7" t="s">
        <v>93</v>
      </c>
      <c r="J7" s="7" t="s">
        <v>94</v>
      </c>
      <c r="K7" s="7" t="s">
        <v>95</v>
      </c>
      <c r="L7" s="7" t="s">
        <v>96</v>
      </c>
      <c r="M7" s="7" t="s">
        <v>97</v>
      </c>
    </row>
    <row r="8" spans="1:13" ht="64" customHeight="1" x14ac:dyDescent="0.2">
      <c r="A8" s="7" t="s">
        <v>41</v>
      </c>
      <c r="B8" s="7" t="s">
        <v>101</v>
      </c>
      <c r="C8" s="7">
        <v>1</v>
      </c>
      <c r="D8" s="7" t="s">
        <v>100</v>
      </c>
      <c r="E8" s="7">
        <v>1</v>
      </c>
      <c r="F8" s="7" t="s">
        <v>16</v>
      </c>
      <c r="G8" s="7" t="s">
        <v>102</v>
      </c>
      <c r="H8" s="7" t="s">
        <v>45</v>
      </c>
      <c r="I8" s="7" t="s">
        <v>103</v>
      </c>
      <c r="J8" s="7" t="s">
        <v>104</v>
      </c>
      <c r="K8" s="7" t="s">
        <v>105</v>
      </c>
      <c r="L8" s="7" t="s">
        <v>106</v>
      </c>
      <c r="M8" s="7" t="s">
        <v>107</v>
      </c>
    </row>
    <row r="9" spans="1:13" ht="64" customHeight="1" x14ac:dyDescent="0.2">
      <c r="A9" s="7" t="s">
        <v>41</v>
      </c>
      <c r="B9" s="7" t="s">
        <v>101</v>
      </c>
      <c r="C9" s="7">
        <v>2</v>
      </c>
      <c r="D9" s="7" t="s">
        <v>110</v>
      </c>
      <c r="E9" s="7">
        <v>2</v>
      </c>
      <c r="F9" s="7" t="s">
        <v>16</v>
      </c>
      <c r="G9" s="7" t="s">
        <v>111</v>
      </c>
      <c r="H9" s="7" t="s">
        <v>45</v>
      </c>
      <c r="I9" s="7" t="s">
        <v>112</v>
      </c>
      <c r="J9" s="7" t="s">
        <v>113</v>
      </c>
      <c r="K9" s="7" t="s">
        <v>114</v>
      </c>
      <c r="L9" s="7" t="s">
        <v>115</v>
      </c>
      <c r="M9" s="7" t="s">
        <v>116</v>
      </c>
    </row>
    <row r="10" spans="1:13" ht="64" customHeight="1" x14ac:dyDescent="0.2">
      <c r="A10" s="7" t="s">
        <v>41</v>
      </c>
      <c r="B10" s="7" t="s">
        <v>101</v>
      </c>
      <c r="C10" s="7">
        <v>3</v>
      </c>
      <c r="D10" s="7" t="s">
        <v>118</v>
      </c>
      <c r="E10" s="7">
        <v>3</v>
      </c>
      <c r="F10" s="7" t="s">
        <v>17</v>
      </c>
      <c r="G10" s="7" t="s">
        <v>119</v>
      </c>
      <c r="H10" s="7" t="s">
        <v>56</v>
      </c>
      <c r="I10" s="7" t="s">
        <v>543</v>
      </c>
      <c r="J10" s="7" t="s">
        <v>58</v>
      </c>
      <c r="K10" s="7" t="s">
        <v>59</v>
      </c>
      <c r="L10" s="7"/>
      <c r="M10" s="7"/>
    </row>
    <row r="11" spans="1:13" ht="64" customHeight="1" x14ac:dyDescent="0.2">
      <c r="A11" s="7" t="s">
        <v>41</v>
      </c>
      <c r="B11" s="7" t="s">
        <v>101</v>
      </c>
      <c r="C11" s="7">
        <v>4</v>
      </c>
      <c r="D11" s="7" t="s">
        <v>122</v>
      </c>
      <c r="E11" s="7">
        <v>3</v>
      </c>
      <c r="F11" s="7" t="s">
        <v>17</v>
      </c>
      <c r="G11" s="7" t="s">
        <v>123</v>
      </c>
      <c r="H11" s="7" t="s">
        <v>45</v>
      </c>
      <c r="I11" s="7" t="s">
        <v>124</v>
      </c>
      <c r="J11" s="7" t="s">
        <v>125</v>
      </c>
      <c r="K11" s="7" t="s">
        <v>126</v>
      </c>
      <c r="L11" s="7" t="s">
        <v>127</v>
      </c>
      <c r="M11" s="7" t="s">
        <v>128</v>
      </c>
    </row>
    <row r="12" spans="1:13" ht="64" customHeight="1" x14ac:dyDescent="0.2">
      <c r="A12" s="7" t="s">
        <v>41</v>
      </c>
      <c r="B12" s="7" t="s">
        <v>101</v>
      </c>
      <c r="C12" s="7">
        <v>5</v>
      </c>
      <c r="D12" s="7" t="s">
        <v>131</v>
      </c>
      <c r="E12" s="7">
        <v>4</v>
      </c>
      <c r="F12" s="7" t="s">
        <v>18</v>
      </c>
      <c r="G12" s="7" t="s">
        <v>132</v>
      </c>
      <c r="H12" s="7" t="s">
        <v>45</v>
      </c>
      <c r="I12" s="7" t="s">
        <v>133</v>
      </c>
      <c r="J12" s="7" t="s">
        <v>134</v>
      </c>
      <c r="K12" s="7" t="s">
        <v>135</v>
      </c>
      <c r="L12" s="7" t="s">
        <v>136</v>
      </c>
      <c r="M12" s="7" t="s">
        <v>137</v>
      </c>
    </row>
    <row r="13" spans="1:13" ht="64" customHeight="1" x14ac:dyDescent="0.2">
      <c r="A13" s="7" t="s">
        <v>41</v>
      </c>
      <c r="B13" s="7" t="s">
        <v>101</v>
      </c>
      <c r="C13" s="7">
        <v>6</v>
      </c>
      <c r="D13" s="7" t="s">
        <v>140</v>
      </c>
      <c r="E13" s="7">
        <v>5</v>
      </c>
      <c r="F13" s="7" t="s">
        <v>18</v>
      </c>
      <c r="G13" s="7" t="s">
        <v>141</v>
      </c>
      <c r="H13" s="7" t="s">
        <v>45</v>
      </c>
      <c r="I13" s="7" t="s">
        <v>142</v>
      </c>
      <c r="J13" s="7" t="s">
        <v>143</v>
      </c>
      <c r="K13" s="7" t="s">
        <v>144</v>
      </c>
      <c r="L13" s="7" t="s">
        <v>85</v>
      </c>
      <c r="M13" s="7" t="s">
        <v>145</v>
      </c>
    </row>
    <row r="14" spans="1:13" ht="64" customHeight="1" x14ac:dyDescent="0.2">
      <c r="A14" s="7" t="s">
        <v>41</v>
      </c>
      <c r="B14" s="7" t="s">
        <v>149</v>
      </c>
      <c r="C14" s="7">
        <v>1</v>
      </c>
      <c r="D14" s="7" t="s">
        <v>148</v>
      </c>
      <c r="E14" s="7">
        <v>1</v>
      </c>
      <c r="F14" s="7" t="s">
        <v>16</v>
      </c>
      <c r="G14" s="7" t="s">
        <v>44</v>
      </c>
      <c r="H14" s="7" t="s">
        <v>56</v>
      </c>
      <c r="I14" s="7" t="s">
        <v>150</v>
      </c>
      <c r="J14" s="7" t="s">
        <v>58</v>
      </c>
      <c r="K14" s="7" t="s">
        <v>59</v>
      </c>
      <c r="L14" s="7"/>
      <c r="M14" s="7"/>
    </row>
    <row r="15" spans="1:13" ht="64" customHeight="1" x14ac:dyDescent="0.2">
      <c r="A15" s="7" t="s">
        <v>41</v>
      </c>
      <c r="B15" s="7" t="s">
        <v>149</v>
      </c>
      <c r="C15" s="7">
        <v>2</v>
      </c>
      <c r="D15" s="7" t="s">
        <v>152</v>
      </c>
      <c r="E15" s="7">
        <v>2</v>
      </c>
      <c r="F15" s="7" t="s">
        <v>16</v>
      </c>
      <c r="G15" s="7" t="s">
        <v>153</v>
      </c>
      <c r="H15" s="7" t="s">
        <v>45</v>
      </c>
      <c r="I15" s="7" t="s">
        <v>154</v>
      </c>
      <c r="J15" s="7" t="s">
        <v>155</v>
      </c>
      <c r="K15" s="7" t="s">
        <v>156</v>
      </c>
      <c r="L15" s="7" t="s">
        <v>157</v>
      </c>
      <c r="M15" s="7" t="s">
        <v>158</v>
      </c>
    </row>
    <row r="16" spans="1:13" ht="64" customHeight="1" x14ac:dyDescent="0.2">
      <c r="A16" s="7" t="s">
        <v>41</v>
      </c>
      <c r="B16" s="7" t="s">
        <v>149</v>
      </c>
      <c r="C16" s="7">
        <v>3</v>
      </c>
      <c r="D16" s="7" t="s">
        <v>161</v>
      </c>
      <c r="E16" s="7">
        <v>3</v>
      </c>
      <c r="F16" s="7" t="s">
        <v>17</v>
      </c>
      <c r="G16" s="7" t="s">
        <v>162</v>
      </c>
      <c r="H16" s="7" t="s">
        <v>45</v>
      </c>
      <c r="I16" s="7" t="s">
        <v>163</v>
      </c>
      <c r="J16" s="7" t="s">
        <v>164</v>
      </c>
      <c r="K16" s="7" t="s">
        <v>165</v>
      </c>
      <c r="L16" s="7" t="s">
        <v>166</v>
      </c>
      <c r="M16" s="7" t="s">
        <v>167</v>
      </c>
    </row>
    <row r="17" spans="1:13" ht="64" customHeight="1" x14ac:dyDescent="0.2">
      <c r="A17" s="7" t="s">
        <v>41</v>
      </c>
      <c r="B17" s="7" t="s">
        <v>149</v>
      </c>
      <c r="C17" s="7">
        <v>4</v>
      </c>
      <c r="D17" s="7" t="s">
        <v>170</v>
      </c>
      <c r="E17" s="7">
        <v>3</v>
      </c>
      <c r="F17" s="7" t="s">
        <v>17</v>
      </c>
      <c r="G17" s="7" t="s">
        <v>171</v>
      </c>
      <c r="H17" s="7" t="s">
        <v>45</v>
      </c>
      <c r="I17" s="7" t="s">
        <v>172</v>
      </c>
      <c r="J17" s="7" t="s">
        <v>173</v>
      </c>
      <c r="K17" s="7" t="s">
        <v>174</v>
      </c>
      <c r="L17" s="7" t="s">
        <v>175</v>
      </c>
      <c r="M17" s="7" t="s">
        <v>176</v>
      </c>
    </row>
    <row r="18" spans="1:13" ht="64" customHeight="1" x14ac:dyDescent="0.2">
      <c r="A18" s="7" t="s">
        <v>41</v>
      </c>
      <c r="B18" s="7" t="s">
        <v>149</v>
      </c>
      <c r="C18" s="7">
        <v>5</v>
      </c>
      <c r="D18" s="7" t="s">
        <v>179</v>
      </c>
      <c r="E18" s="7">
        <v>4</v>
      </c>
      <c r="F18" s="7" t="s">
        <v>18</v>
      </c>
      <c r="G18" s="7" t="s">
        <v>180</v>
      </c>
      <c r="H18" s="7" t="s">
        <v>45</v>
      </c>
      <c r="I18" s="7" t="s">
        <v>181</v>
      </c>
      <c r="J18" s="7" t="s">
        <v>182</v>
      </c>
      <c r="K18" s="7" t="s">
        <v>84</v>
      </c>
      <c r="L18" s="7" t="s">
        <v>183</v>
      </c>
      <c r="M18" s="7" t="s">
        <v>86</v>
      </c>
    </row>
    <row r="19" spans="1:13" ht="64" customHeight="1" x14ac:dyDescent="0.2">
      <c r="A19" s="7" t="s">
        <v>41</v>
      </c>
      <c r="B19" s="7" t="s">
        <v>149</v>
      </c>
      <c r="C19" s="7">
        <v>6</v>
      </c>
      <c r="D19" s="7" t="s">
        <v>186</v>
      </c>
      <c r="E19" s="7">
        <v>5</v>
      </c>
      <c r="F19" s="7" t="s">
        <v>18</v>
      </c>
      <c r="G19" s="7" t="s">
        <v>187</v>
      </c>
      <c r="H19" s="7" t="s">
        <v>45</v>
      </c>
      <c r="I19" s="7" t="s">
        <v>188</v>
      </c>
      <c r="J19" s="7" t="s">
        <v>189</v>
      </c>
      <c r="K19" s="7" t="s">
        <v>190</v>
      </c>
      <c r="L19" s="7" t="s">
        <v>191</v>
      </c>
      <c r="M19" s="7" t="s">
        <v>192</v>
      </c>
    </row>
    <row r="20" spans="1:13" ht="64" customHeight="1" x14ac:dyDescent="0.2">
      <c r="A20" s="7" t="s">
        <v>196</v>
      </c>
      <c r="B20" s="7" t="s">
        <v>42</v>
      </c>
      <c r="C20" s="7">
        <v>1</v>
      </c>
      <c r="D20" s="7" t="s">
        <v>195</v>
      </c>
      <c r="E20" s="7">
        <v>1</v>
      </c>
      <c r="F20" s="7" t="s">
        <v>16</v>
      </c>
      <c r="G20" s="7" t="s">
        <v>197</v>
      </c>
      <c r="H20" s="7" t="s">
        <v>45</v>
      </c>
      <c r="I20" s="7" t="s">
        <v>198</v>
      </c>
      <c r="J20" s="7" t="s">
        <v>199</v>
      </c>
      <c r="K20" s="7" t="s">
        <v>200</v>
      </c>
      <c r="L20" s="7" t="s">
        <v>201</v>
      </c>
      <c r="M20" s="7" t="s">
        <v>202</v>
      </c>
    </row>
    <row r="21" spans="1:13" ht="64" customHeight="1" x14ac:dyDescent="0.2">
      <c r="A21" s="7" t="s">
        <v>196</v>
      </c>
      <c r="B21" s="7" t="s">
        <v>42</v>
      </c>
      <c r="C21" s="7">
        <v>2</v>
      </c>
      <c r="D21" s="7" t="s">
        <v>204</v>
      </c>
      <c r="E21" s="7">
        <v>2</v>
      </c>
      <c r="F21" s="7" t="s">
        <v>16</v>
      </c>
      <c r="G21" s="7" t="s">
        <v>44</v>
      </c>
      <c r="H21" s="7" t="s">
        <v>45</v>
      </c>
      <c r="I21" s="7" t="s">
        <v>205</v>
      </c>
      <c r="J21" s="7" t="s">
        <v>206</v>
      </c>
      <c r="K21" s="7" t="s">
        <v>207</v>
      </c>
      <c r="L21" s="7" t="s">
        <v>208</v>
      </c>
      <c r="M21" s="7" t="s">
        <v>209</v>
      </c>
    </row>
    <row r="22" spans="1:13" ht="64" customHeight="1" x14ac:dyDescent="0.2">
      <c r="A22" s="7" t="s">
        <v>196</v>
      </c>
      <c r="B22" s="7" t="s">
        <v>42</v>
      </c>
      <c r="C22" s="7">
        <v>3</v>
      </c>
      <c r="D22" s="7" t="s">
        <v>212</v>
      </c>
      <c r="E22" s="7">
        <v>3</v>
      </c>
      <c r="F22" s="7" t="s">
        <v>17</v>
      </c>
      <c r="G22" s="7" t="s">
        <v>213</v>
      </c>
      <c r="H22" s="7" t="s">
        <v>45</v>
      </c>
      <c r="I22" s="7" t="s">
        <v>214</v>
      </c>
      <c r="J22" s="7" t="s">
        <v>215</v>
      </c>
      <c r="K22" s="7" t="s">
        <v>216</v>
      </c>
      <c r="L22" s="7" t="s">
        <v>217</v>
      </c>
      <c r="M22" s="7" t="s">
        <v>218</v>
      </c>
    </row>
    <row r="23" spans="1:13" ht="64" customHeight="1" x14ac:dyDescent="0.2">
      <c r="A23" s="7" t="s">
        <v>196</v>
      </c>
      <c r="B23" s="7" t="s">
        <v>42</v>
      </c>
      <c r="C23" s="7">
        <v>4</v>
      </c>
      <c r="D23" s="7" t="s">
        <v>220</v>
      </c>
      <c r="E23" s="7">
        <v>3</v>
      </c>
      <c r="F23" s="7" t="s">
        <v>17</v>
      </c>
      <c r="G23" s="7" t="s">
        <v>123</v>
      </c>
      <c r="H23" s="7" t="s">
        <v>45</v>
      </c>
      <c r="I23" s="7" t="s">
        <v>221</v>
      </c>
      <c r="J23" s="7" t="s">
        <v>222</v>
      </c>
      <c r="K23" s="7" t="s">
        <v>164</v>
      </c>
      <c r="L23" s="7" t="s">
        <v>165</v>
      </c>
      <c r="M23" s="7" t="s">
        <v>223</v>
      </c>
    </row>
    <row r="24" spans="1:13" ht="64" customHeight="1" x14ac:dyDescent="0.2">
      <c r="A24" s="7" t="s">
        <v>196</v>
      </c>
      <c r="B24" s="7" t="s">
        <v>42</v>
      </c>
      <c r="C24" s="7">
        <v>5</v>
      </c>
      <c r="D24" s="7" t="s">
        <v>226</v>
      </c>
      <c r="E24" s="7">
        <v>4</v>
      </c>
      <c r="F24" s="7" t="s">
        <v>18</v>
      </c>
      <c r="G24" s="7" t="s">
        <v>227</v>
      </c>
      <c r="H24" s="7" t="s">
        <v>45</v>
      </c>
      <c r="I24" s="7" t="s">
        <v>228</v>
      </c>
      <c r="J24" s="7" t="s">
        <v>229</v>
      </c>
      <c r="K24" s="7" t="s">
        <v>230</v>
      </c>
      <c r="L24" s="7" t="s">
        <v>231</v>
      </c>
      <c r="M24" s="7" t="s">
        <v>232</v>
      </c>
    </row>
    <row r="25" spans="1:13" ht="64" customHeight="1" x14ac:dyDescent="0.2">
      <c r="A25" s="7" t="s">
        <v>196</v>
      </c>
      <c r="B25" s="7" t="s">
        <v>42</v>
      </c>
      <c r="C25" s="7">
        <v>6</v>
      </c>
      <c r="D25" s="7" t="s">
        <v>235</v>
      </c>
      <c r="E25" s="7">
        <v>5</v>
      </c>
      <c r="F25" s="7" t="s">
        <v>18</v>
      </c>
      <c r="G25" s="7" t="s">
        <v>236</v>
      </c>
      <c r="H25" s="7" t="s">
        <v>45</v>
      </c>
      <c r="I25" s="7" t="s">
        <v>237</v>
      </c>
      <c r="J25" s="7" t="s">
        <v>238</v>
      </c>
      <c r="K25" s="7" t="s">
        <v>239</v>
      </c>
      <c r="L25" s="7" t="s">
        <v>240</v>
      </c>
      <c r="M25" s="7" t="s">
        <v>241</v>
      </c>
    </row>
    <row r="26" spans="1:13" ht="64" customHeight="1" x14ac:dyDescent="0.2">
      <c r="A26" s="7" t="s">
        <v>196</v>
      </c>
      <c r="B26" s="7" t="s">
        <v>101</v>
      </c>
      <c r="C26" s="7">
        <v>1</v>
      </c>
      <c r="D26" s="7" t="s">
        <v>244</v>
      </c>
      <c r="E26" s="7">
        <v>1</v>
      </c>
      <c r="F26" s="7" t="s">
        <v>16</v>
      </c>
      <c r="G26" s="7" t="s">
        <v>245</v>
      </c>
      <c r="H26" s="7" t="s">
        <v>45</v>
      </c>
      <c r="I26" s="7" t="s">
        <v>246</v>
      </c>
      <c r="J26" s="7" t="s">
        <v>247</v>
      </c>
      <c r="K26" s="7" t="s">
        <v>248</v>
      </c>
      <c r="L26" s="7" t="s">
        <v>249</v>
      </c>
      <c r="M26" s="7" t="s">
        <v>250</v>
      </c>
    </row>
    <row r="27" spans="1:13" ht="64" customHeight="1" x14ac:dyDescent="0.2">
      <c r="A27" s="7" t="s">
        <v>196</v>
      </c>
      <c r="B27" s="7" t="s">
        <v>101</v>
      </c>
      <c r="C27" s="7">
        <v>2</v>
      </c>
      <c r="D27" s="7" t="s">
        <v>252</v>
      </c>
      <c r="E27" s="7">
        <v>2</v>
      </c>
      <c r="F27" s="7" t="s">
        <v>16</v>
      </c>
      <c r="G27" s="7" t="s">
        <v>253</v>
      </c>
      <c r="H27" s="7" t="s">
        <v>45</v>
      </c>
      <c r="I27" s="7" t="s">
        <v>254</v>
      </c>
      <c r="J27" s="7" t="s">
        <v>255</v>
      </c>
      <c r="K27" s="7" t="s">
        <v>256</v>
      </c>
      <c r="L27" s="7" t="s">
        <v>257</v>
      </c>
      <c r="M27" s="7" t="s">
        <v>258</v>
      </c>
    </row>
    <row r="28" spans="1:13" ht="64" customHeight="1" x14ac:dyDescent="0.2">
      <c r="A28" s="7" t="s">
        <v>196</v>
      </c>
      <c r="B28" s="7" t="s">
        <v>101</v>
      </c>
      <c r="C28" s="7">
        <v>3</v>
      </c>
      <c r="D28" s="7" t="s">
        <v>260</v>
      </c>
      <c r="E28" s="7">
        <v>3</v>
      </c>
      <c r="F28" s="7" t="s">
        <v>17</v>
      </c>
      <c r="G28" s="7" t="s">
        <v>261</v>
      </c>
      <c r="H28" s="7" t="s">
        <v>45</v>
      </c>
      <c r="I28" s="7" t="s">
        <v>262</v>
      </c>
      <c r="J28" s="7" t="s">
        <v>263</v>
      </c>
      <c r="K28" s="7" t="s">
        <v>264</v>
      </c>
      <c r="L28" s="7" t="s">
        <v>265</v>
      </c>
      <c r="M28" s="7" t="s">
        <v>266</v>
      </c>
    </row>
    <row r="29" spans="1:13" ht="64" customHeight="1" x14ac:dyDescent="0.2">
      <c r="A29" s="7" t="s">
        <v>196</v>
      </c>
      <c r="B29" s="7" t="s">
        <v>101</v>
      </c>
      <c r="C29" s="7">
        <v>4</v>
      </c>
      <c r="D29" s="7" t="s">
        <v>268</v>
      </c>
      <c r="E29" s="7">
        <v>3</v>
      </c>
      <c r="F29" s="7" t="s">
        <v>17</v>
      </c>
      <c r="G29" s="7" t="s">
        <v>269</v>
      </c>
      <c r="H29" s="7" t="s">
        <v>45</v>
      </c>
      <c r="I29" s="7" t="s">
        <v>270</v>
      </c>
      <c r="J29" s="7" t="s">
        <v>271</v>
      </c>
      <c r="K29" s="7" t="s">
        <v>272</v>
      </c>
      <c r="L29" s="7" t="s">
        <v>273</v>
      </c>
      <c r="M29" s="7" t="s">
        <v>274</v>
      </c>
    </row>
    <row r="30" spans="1:13" ht="64" customHeight="1" x14ac:dyDescent="0.2">
      <c r="A30" s="7" t="s">
        <v>196</v>
      </c>
      <c r="B30" s="7" t="s">
        <v>101</v>
      </c>
      <c r="C30" s="7">
        <v>5</v>
      </c>
      <c r="D30" s="7" t="s">
        <v>276</v>
      </c>
      <c r="E30" s="7">
        <v>4</v>
      </c>
      <c r="F30" s="7" t="s">
        <v>18</v>
      </c>
      <c r="G30" s="7" t="s">
        <v>277</v>
      </c>
      <c r="H30" s="7" t="s">
        <v>45</v>
      </c>
      <c r="I30" s="7" t="s">
        <v>278</v>
      </c>
      <c r="J30" s="7" t="s">
        <v>279</v>
      </c>
      <c r="K30" s="7" t="s">
        <v>280</v>
      </c>
      <c r="L30" s="7" t="s">
        <v>281</v>
      </c>
      <c r="M30" s="7" t="s">
        <v>282</v>
      </c>
    </row>
    <row r="31" spans="1:13" ht="64" customHeight="1" x14ac:dyDescent="0.2">
      <c r="A31" s="7" t="s">
        <v>196</v>
      </c>
      <c r="B31" s="7" t="s">
        <v>101</v>
      </c>
      <c r="C31" s="7">
        <v>6</v>
      </c>
      <c r="D31" s="7" t="s">
        <v>284</v>
      </c>
      <c r="E31" s="7">
        <v>5</v>
      </c>
      <c r="F31" s="7" t="s">
        <v>18</v>
      </c>
      <c r="G31" s="7" t="s">
        <v>285</v>
      </c>
      <c r="H31" s="7" t="s">
        <v>45</v>
      </c>
      <c r="I31" s="7" t="s">
        <v>286</v>
      </c>
      <c r="J31" s="7" t="s">
        <v>287</v>
      </c>
      <c r="K31" s="7" t="s">
        <v>288</v>
      </c>
      <c r="L31" s="7" t="s">
        <v>289</v>
      </c>
      <c r="M31" s="7" t="s">
        <v>290</v>
      </c>
    </row>
    <row r="32" spans="1:13" ht="64" customHeight="1" x14ac:dyDescent="0.2">
      <c r="A32" s="7" t="s">
        <v>196</v>
      </c>
      <c r="B32" s="7" t="s">
        <v>149</v>
      </c>
      <c r="C32" s="7">
        <v>1</v>
      </c>
      <c r="D32" s="7" t="s">
        <v>293</v>
      </c>
      <c r="E32" s="7">
        <v>1</v>
      </c>
      <c r="F32" s="7" t="s">
        <v>16</v>
      </c>
      <c r="G32" s="7" t="s">
        <v>102</v>
      </c>
      <c r="H32" s="7" t="s">
        <v>45</v>
      </c>
      <c r="I32" s="7" t="s">
        <v>294</v>
      </c>
      <c r="J32" s="7" t="s">
        <v>295</v>
      </c>
      <c r="K32" s="7" t="s">
        <v>296</v>
      </c>
      <c r="L32" s="7" t="s">
        <v>297</v>
      </c>
      <c r="M32" s="7" t="s">
        <v>298</v>
      </c>
    </row>
    <row r="33" spans="1:13" ht="64" customHeight="1" x14ac:dyDescent="0.2">
      <c r="A33" s="7" t="s">
        <v>196</v>
      </c>
      <c r="B33" s="7" t="s">
        <v>149</v>
      </c>
      <c r="C33" s="7">
        <v>2</v>
      </c>
      <c r="D33" s="7" t="s">
        <v>300</v>
      </c>
      <c r="E33" s="7">
        <v>2</v>
      </c>
      <c r="F33" s="7" t="s">
        <v>16</v>
      </c>
      <c r="G33" s="7" t="s">
        <v>301</v>
      </c>
      <c r="H33" s="7" t="s">
        <v>56</v>
      </c>
      <c r="I33" s="7" t="s">
        <v>302</v>
      </c>
      <c r="J33" s="7" t="s">
        <v>58</v>
      </c>
      <c r="K33" s="7" t="s">
        <v>59</v>
      </c>
      <c r="L33" s="7"/>
      <c r="M33" s="7"/>
    </row>
    <row r="34" spans="1:13" ht="64" customHeight="1" x14ac:dyDescent="0.2">
      <c r="A34" s="7" t="s">
        <v>196</v>
      </c>
      <c r="B34" s="7" t="s">
        <v>149</v>
      </c>
      <c r="C34" s="7">
        <v>3</v>
      </c>
      <c r="D34" s="7" t="s">
        <v>304</v>
      </c>
      <c r="E34" s="7">
        <v>3</v>
      </c>
      <c r="F34" s="7" t="s">
        <v>17</v>
      </c>
      <c r="G34" s="7" t="s">
        <v>305</v>
      </c>
      <c r="H34" s="7" t="s">
        <v>45</v>
      </c>
      <c r="I34" s="7" t="s">
        <v>306</v>
      </c>
      <c r="J34" s="7" t="s">
        <v>307</v>
      </c>
      <c r="K34" s="7" t="s">
        <v>308</v>
      </c>
      <c r="L34" s="7" t="s">
        <v>309</v>
      </c>
      <c r="M34" s="7" t="s">
        <v>310</v>
      </c>
    </row>
    <row r="35" spans="1:13" ht="64" customHeight="1" x14ac:dyDescent="0.2">
      <c r="A35" s="7" t="s">
        <v>196</v>
      </c>
      <c r="B35" s="7" t="s">
        <v>149</v>
      </c>
      <c r="C35" s="7">
        <v>4</v>
      </c>
      <c r="D35" s="7" t="s">
        <v>313</v>
      </c>
      <c r="E35" s="7">
        <v>3</v>
      </c>
      <c r="F35" s="7" t="s">
        <v>17</v>
      </c>
      <c r="G35" s="7" t="s">
        <v>314</v>
      </c>
      <c r="H35" s="7" t="s">
        <v>45</v>
      </c>
      <c r="I35" s="7" t="s">
        <v>315</v>
      </c>
      <c r="J35" s="7" t="s">
        <v>316</v>
      </c>
      <c r="K35" s="7" t="s">
        <v>317</v>
      </c>
      <c r="L35" s="7" t="s">
        <v>318</v>
      </c>
      <c r="M35" s="7" t="s">
        <v>319</v>
      </c>
    </row>
    <row r="36" spans="1:13" ht="64" customHeight="1" x14ac:dyDescent="0.2">
      <c r="A36" s="7" t="s">
        <v>196</v>
      </c>
      <c r="B36" s="7" t="s">
        <v>149</v>
      </c>
      <c r="C36" s="7">
        <v>5</v>
      </c>
      <c r="D36" s="7" t="s">
        <v>321</v>
      </c>
      <c r="E36" s="7">
        <v>4</v>
      </c>
      <c r="F36" s="7" t="s">
        <v>18</v>
      </c>
      <c r="G36" s="7" t="s">
        <v>322</v>
      </c>
      <c r="H36" s="7" t="s">
        <v>45</v>
      </c>
      <c r="I36" s="7" t="s">
        <v>323</v>
      </c>
      <c r="J36" s="7" t="s">
        <v>324</v>
      </c>
      <c r="K36" s="7" t="s">
        <v>325</v>
      </c>
      <c r="L36" s="7" t="s">
        <v>326</v>
      </c>
      <c r="M36" s="7" t="s">
        <v>327</v>
      </c>
    </row>
    <row r="37" spans="1:13" ht="64" customHeight="1" x14ac:dyDescent="0.2">
      <c r="A37" s="7" t="s">
        <v>196</v>
      </c>
      <c r="B37" s="7" t="s">
        <v>149</v>
      </c>
      <c r="C37" s="7">
        <v>6</v>
      </c>
      <c r="D37" s="7" t="s">
        <v>330</v>
      </c>
      <c r="E37" s="7">
        <v>5</v>
      </c>
      <c r="F37" s="7" t="s">
        <v>18</v>
      </c>
      <c r="G37" s="7" t="s">
        <v>92</v>
      </c>
      <c r="H37" s="7" t="s">
        <v>45</v>
      </c>
      <c r="I37" s="7" t="s">
        <v>331</v>
      </c>
      <c r="J37" s="7" t="s">
        <v>332</v>
      </c>
      <c r="K37" s="7" t="s">
        <v>333</v>
      </c>
      <c r="L37" s="7" t="s">
        <v>334</v>
      </c>
      <c r="M37" s="7" t="s">
        <v>335</v>
      </c>
    </row>
  </sheetData>
  <conditionalFormatting sqref="E2:E3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topLeftCell="A2" zoomScale="125" workbookViewId="0">
      <selection activeCell="E2" sqref="E2"/>
    </sheetView>
  </sheetViews>
  <sheetFormatPr baseColWidth="10" defaultColWidth="8.83203125" defaultRowHeight="15" x14ac:dyDescent="0.2"/>
  <cols>
    <col min="1" max="1" width="8" customWidth="1"/>
    <col min="2" max="3" width="10" customWidth="1"/>
    <col min="4" max="4" width="24" customWidth="1"/>
    <col min="5" max="5" width="72" customWidth="1"/>
    <col min="6" max="6" width="74" customWidth="1"/>
    <col min="7" max="7" width="34" customWidth="1"/>
  </cols>
  <sheetData>
    <row r="1" spans="1:7" ht="16" x14ac:dyDescent="0.2">
      <c r="A1" s="6" t="s">
        <v>25</v>
      </c>
      <c r="B1" s="6" t="s">
        <v>11</v>
      </c>
      <c r="C1" s="6" t="s">
        <v>12</v>
      </c>
      <c r="D1" s="6" t="s">
        <v>30</v>
      </c>
      <c r="E1" s="6" t="s">
        <v>471</v>
      </c>
      <c r="F1" s="6" t="s">
        <v>472</v>
      </c>
      <c r="G1" s="6" t="s">
        <v>473</v>
      </c>
    </row>
    <row r="2" spans="1:7" ht="76" customHeight="1" x14ac:dyDescent="0.2">
      <c r="A2" s="7" t="s">
        <v>474</v>
      </c>
      <c r="B2" s="7">
        <v>2</v>
      </c>
      <c r="C2" s="7" t="s">
        <v>16</v>
      </c>
      <c r="D2" s="7" t="s">
        <v>301</v>
      </c>
      <c r="E2" s="7" t="s">
        <v>475</v>
      </c>
      <c r="F2" s="7" t="s">
        <v>476</v>
      </c>
      <c r="G2" s="7" t="s">
        <v>477</v>
      </c>
    </row>
    <row r="3" spans="1:7" ht="76" customHeight="1" x14ac:dyDescent="0.2">
      <c r="A3" s="7" t="s">
        <v>478</v>
      </c>
      <c r="B3" s="7">
        <v>2</v>
      </c>
      <c r="C3" s="7" t="s">
        <v>16</v>
      </c>
      <c r="D3" s="7" t="s">
        <v>479</v>
      </c>
      <c r="E3" s="7" t="s">
        <v>480</v>
      </c>
      <c r="F3" s="7" t="s">
        <v>481</v>
      </c>
      <c r="G3" s="7" t="s">
        <v>482</v>
      </c>
    </row>
    <row r="4" spans="1:7" ht="76" customHeight="1" x14ac:dyDescent="0.2">
      <c r="A4" s="7" t="s">
        <v>483</v>
      </c>
      <c r="B4" s="7">
        <v>3</v>
      </c>
      <c r="C4" s="7" t="s">
        <v>17</v>
      </c>
      <c r="D4" s="7" t="s">
        <v>484</v>
      </c>
      <c r="E4" s="7" t="s">
        <v>485</v>
      </c>
      <c r="F4" s="7" t="s">
        <v>486</v>
      </c>
      <c r="G4" s="7" t="s">
        <v>487</v>
      </c>
    </row>
    <row r="5" spans="1:7" ht="76" customHeight="1" x14ac:dyDescent="0.2">
      <c r="A5" s="7" t="s">
        <v>488</v>
      </c>
      <c r="B5" s="7">
        <v>3</v>
      </c>
      <c r="C5" s="7" t="s">
        <v>17</v>
      </c>
      <c r="D5" s="7" t="s">
        <v>489</v>
      </c>
      <c r="E5" s="7" t="s">
        <v>490</v>
      </c>
      <c r="F5" s="7" t="s">
        <v>491</v>
      </c>
      <c r="G5" s="7" t="s">
        <v>492</v>
      </c>
    </row>
    <row r="6" spans="1:7" ht="76" customHeight="1" x14ac:dyDescent="0.2">
      <c r="A6" s="7" t="s">
        <v>493</v>
      </c>
      <c r="B6" s="7">
        <v>4</v>
      </c>
      <c r="C6" s="7" t="s">
        <v>18</v>
      </c>
      <c r="D6" s="7" t="s">
        <v>494</v>
      </c>
      <c r="E6" s="7" t="s">
        <v>495</v>
      </c>
      <c r="F6" s="7" t="s">
        <v>496</v>
      </c>
      <c r="G6" s="7" t="s">
        <v>497</v>
      </c>
    </row>
    <row r="7" spans="1:7" ht="76" customHeight="1" x14ac:dyDescent="0.2">
      <c r="A7" s="7" t="s">
        <v>498</v>
      </c>
      <c r="B7" s="7">
        <v>4</v>
      </c>
      <c r="C7" s="7" t="s">
        <v>18</v>
      </c>
      <c r="D7" s="7" t="s">
        <v>499</v>
      </c>
      <c r="E7" s="7" t="s">
        <v>500</v>
      </c>
      <c r="F7" s="7" t="s">
        <v>501</v>
      </c>
      <c r="G7" s="7" t="s">
        <v>502</v>
      </c>
    </row>
    <row r="8" spans="1:7" ht="76" customHeight="1" x14ac:dyDescent="0.2">
      <c r="A8" s="7" t="s">
        <v>503</v>
      </c>
      <c r="B8" s="7">
        <v>4</v>
      </c>
      <c r="C8" s="7" t="s">
        <v>18</v>
      </c>
      <c r="D8" s="7" t="s">
        <v>504</v>
      </c>
      <c r="E8" s="7" t="s">
        <v>505</v>
      </c>
      <c r="F8" s="7" t="s">
        <v>506</v>
      </c>
      <c r="G8" s="7" t="s">
        <v>507</v>
      </c>
    </row>
    <row r="9" spans="1:7" ht="76" customHeight="1" x14ac:dyDescent="0.2">
      <c r="A9" s="7" t="s">
        <v>508</v>
      </c>
      <c r="B9" s="7">
        <v>5</v>
      </c>
      <c r="C9" s="7" t="s">
        <v>18</v>
      </c>
      <c r="D9" s="7" t="s">
        <v>509</v>
      </c>
      <c r="E9" s="7" t="s">
        <v>510</v>
      </c>
      <c r="F9" s="7" t="s">
        <v>511</v>
      </c>
      <c r="G9" s="7" t="s">
        <v>512</v>
      </c>
    </row>
    <row r="10" spans="1:7" ht="76" customHeight="1" x14ac:dyDescent="0.2">
      <c r="A10" s="7" t="s">
        <v>513</v>
      </c>
      <c r="B10" s="7">
        <v>5</v>
      </c>
      <c r="C10" s="7" t="s">
        <v>18</v>
      </c>
      <c r="D10" s="7" t="s">
        <v>514</v>
      </c>
      <c r="E10" s="7" t="s">
        <v>515</v>
      </c>
      <c r="F10" s="7" t="s">
        <v>516</v>
      </c>
      <c r="G10" s="7" t="s">
        <v>517</v>
      </c>
    </row>
    <row r="11" spans="1:7" ht="76" customHeight="1" x14ac:dyDescent="0.2">
      <c r="A11" s="7" t="s">
        <v>518</v>
      </c>
      <c r="B11" s="7">
        <v>5</v>
      </c>
      <c r="C11" s="7" t="s">
        <v>18</v>
      </c>
      <c r="D11" s="7" t="s">
        <v>519</v>
      </c>
      <c r="E11" s="7" t="s">
        <v>520</v>
      </c>
      <c r="F11" s="7" t="s">
        <v>521</v>
      </c>
      <c r="G11" s="7" t="s">
        <v>522</v>
      </c>
    </row>
    <row r="12" spans="1:7" ht="76" customHeight="1" x14ac:dyDescent="0.2">
      <c r="A12" s="7" t="s">
        <v>523</v>
      </c>
      <c r="B12" s="7">
        <v>3</v>
      </c>
      <c r="C12" s="7" t="s">
        <v>17</v>
      </c>
      <c r="D12" s="7" t="s">
        <v>524</v>
      </c>
      <c r="E12" s="7" t="s">
        <v>525</v>
      </c>
      <c r="F12" s="7" t="s">
        <v>526</v>
      </c>
      <c r="G12" s="7" t="s">
        <v>527</v>
      </c>
    </row>
    <row r="13" spans="1:7" ht="76" customHeight="1" x14ac:dyDescent="0.2">
      <c r="A13" s="7" t="s">
        <v>528</v>
      </c>
      <c r="B13" s="7">
        <v>4</v>
      </c>
      <c r="C13" s="7" t="s">
        <v>18</v>
      </c>
      <c r="D13" s="7" t="s">
        <v>529</v>
      </c>
      <c r="E13" s="7" t="s">
        <v>530</v>
      </c>
      <c r="F13" s="7" t="s">
        <v>531</v>
      </c>
      <c r="G13" s="7" t="s">
        <v>532</v>
      </c>
    </row>
  </sheetData>
  <conditionalFormatting sqref="B2:B13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/>
  </sheetViews>
  <sheetFormatPr baseColWidth="10" defaultColWidth="8.83203125" defaultRowHeight="15" x14ac:dyDescent="0.2"/>
  <cols>
    <col min="1" max="1" width="24" customWidth="1"/>
    <col min="2" max="2" width="100" customWidth="1"/>
  </cols>
  <sheetData>
    <row r="1" spans="1:2" x14ac:dyDescent="0.2">
      <c r="A1" s="5" t="s">
        <v>533</v>
      </c>
      <c r="B1" s="5" t="s">
        <v>534</v>
      </c>
    </row>
    <row r="2" spans="1:2" ht="48" customHeight="1" x14ac:dyDescent="0.2">
      <c r="A2" s="2" t="s">
        <v>535</v>
      </c>
      <c r="B2" s="2" t="s">
        <v>536</v>
      </c>
    </row>
    <row r="3" spans="1:2" ht="48" customHeight="1" x14ac:dyDescent="0.2">
      <c r="A3" s="2" t="s">
        <v>537</v>
      </c>
      <c r="B3" s="2" t="s">
        <v>538</v>
      </c>
    </row>
    <row r="4" spans="1:2" ht="48" customHeight="1" x14ac:dyDescent="0.2">
      <c r="A4" s="2" t="s">
        <v>539</v>
      </c>
      <c r="B4" s="2" t="s">
        <v>540</v>
      </c>
    </row>
    <row r="5" spans="1:2" ht="48" customHeight="1" x14ac:dyDescent="0.2">
      <c r="A5" s="2" t="s">
        <v>541</v>
      </c>
      <c r="B5" s="2" t="s">
        <v>542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Deterministic bank</vt:lpstr>
      <vt:lpstr>Core 36 forms</vt:lpstr>
      <vt:lpstr>Open prompts</vt:lpstr>
      <vt:lpstr>Sources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Amsterdam-3, W.A.C. van (Wouter)</cp:lastModifiedBy>
  <dcterms:created xsi:type="dcterms:W3CDTF">2026-07-06T14:44:17Z</dcterms:created>
  <dcterms:modified xsi:type="dcterms:W3CDTF">2026-07-06T20:04:10Z</dcterms:modified>
</cp:coreProperties>
</file>